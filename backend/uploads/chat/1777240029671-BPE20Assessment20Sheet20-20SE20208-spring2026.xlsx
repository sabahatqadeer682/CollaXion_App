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iphah\BPE\"/>
    </mc:Choice>
  </mc:AlternateContent>
  <xr:revisionPtr revIDLastSave="0" documentId="13_ncr:1_{A609790D-0434-43ED-8A57-C2F9F92A9F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1" r:id="rId1"/>
    <sheet name="Sheet3" sheetId="2" r:id="rId2"/>
  </sheets>
  <calcPr calcId="191029"/>
  <extLst>
    <ext uri="GoogleSheetsCustomDataVersion2">
      <go:sheetsCustomData xmlns:go="http://customooxmlschemas.google.com/" r:id="rId6" roundtripDataChecksum="h3juJI6GduLFReTV7r+HAwvDa83d6gE0x5EweVuoS00="/>
    </ext>
  </extLst>
</workbook>
</file>

<file path=xl/calcChain.xml><?xml version="1.0" encoding="utf-8"?>
<calcChain xmlns="http://schemas.openxmlformats.org/spreadsheetml/2006/main">
  <c r="K38" i="1" l="1"/>
  <c r="H38" i="1"/>
  <c r="K37" i="1"/>
  <c r="M37" i="1" s="1"/>
  <c r="H37" i="1"/>
  <c r="K36" i="1"/>
  <c r="M36" i="1" s="1"/>
  <c r="H36" i="1"/>
  <c r="M35" i="1"/>
  <c r="K35" i="1"/>
  <c r="H35" i="1"/>
  <c r="L35" i="1" s="1"/>
  <c r="P35" i="1" s="1"/>
  <c r="R35" i="1" s="1"/>
  <c r="S35" i="1" s="1"/>
  <c r="L34" i="1"/>
  <c r="K34" i="1"/>
  <c r="H34" i="1"/>
  <c r="K33" i="1"/>
  <c r="M33" i="1" s="1"/>
  <c r="H33" i="1"/>
  <c r="P32" i="1"/>
  <c r="R32" i="1" s="1"/>
  <c r="S32" i="1" s="1"/>
  <c r="K32" i="1"/>
  <c r="M32" i="1" s="1"/>
  <c r="H32" i="1"/>
  <c r="L32" i="1" s="1"/>
  <c r="M31" i="1"/>
  <c r="K31" i="1"/>
  <c r="H31" i="1"/>
  <c r="L30" i="1"/>
  <c r="K30" i="1"/>
  <c r="H30" i="1"/>
  <c r="K29" i="1"/>
  <c r="M29" i="1" s="1"/>
  <c r="H29" i="1"/>
  <c r="K28" i="1"/>
  <c r="M28" i="1" s="1"/>
  <c r="H28" i="1"/>
  <c r="L28" i="1" s="1"/>
  <c r="P28" i="1" s="1"/>
  <c r="R28" i="1" s="1"/>
  <c r="S28" i="1" s="1"/>
  <c r="M27" i="1"/>
  <c r="K27" i="1"/>
  <c r="H27" i="1"/>
  <c r="L27" i="1" s="1"/>
  <c r="L26" i="1"/>
  <c r="K26" i="1"/>
  <c r="H26" i="1"/>
  <c r="K25" i="1"/>
  <c r="M25" i="1" s="1"/>
  <c r="H25" i="1"/>
  <c r="K24" i="1"/>
  <c r="M24" i="1" s="1"/>
  <c r="H24" i="1"/>
  <c r="L24" i="1" s="1"/>
  <c r="P24" i="1" s="1"/>
  <c r="R24" i="1" s="1"/>
  <c r="S24" i="1" s="1"/>
  <c r="M23" i="1"/>
  <c r="K23" i="1"/>
  <c r="H23" i="1"/>
  <c r="L23" i="1" s="1"/>
  <c r="P23" i="1" s="1"/>
  <c r="R23" i="1" s="1"/>
  <c r="S23" i="1" s="1"/>
  <c r="K22" i="1"/>
  <c r="H22" i="1"/>
  <c r="K21" i="1"/>
  <c r="M21" i="1" s="1"/>
  <c r="H21" i="1"/>
  <c r="K20" i="1"/>
  <c r="M20" i="1" s="1"/>
  <c r="H20" i="1"/>
  <c r="M19" i="1"/>
  <c r="K19" i="1"/>
  <c r="H19" i="1"/>
  <c r="L19" i="1" s="1"/>
  <c r="P19" i="1" s="1"/>
  <c r="R19" i="1" s="1"/>
  <c r="S19" i="1" s="1"/>
  <c r="L18" i="1"/>
  <c r="K18" i="1"/>
  <c r="H18" i="1"/>
  <c r="K17" i="1"/>
  <c r="M17" i="1" s="1"/>
  <c r="H17" i="1"/>
  <c r="K16" i="1"/>
  <c r="M16" i="1" s="1"/>
  <c r="H16" i="1"/>
  <c r="L16" i="1" s="1"/>
  <c r="P16" i="1" s="1"/>
  <c r="R16" i="1" s="1"/>
  <c r="S16" i="1" s="1"/>
  <c r="M15" i="1"/>
  <c r="K15" i="1"/>
  <c r="H15" i="1"/>
  <c r="L15" i="1" s="1"/>
  <c r="L14" i="1"/>
  <c r="K14" i="1"/>
  <c r="H14" i="1"/>
  <c r="K13" i="1"/>
  <c r="M13" i="1" s="1"/>
  <c r="H13" i="1"/>
  <c r="K12" i="1"/>
  <c r="M12" i="1" s="1"/>
  <c r="H12" i="1"/>
  <c r="L12" i="1" s="1"/>
  <c r="P12" i="1" s="1"/>
  <c r="R12" i="1" s="1"/>
  <c r="S12" i="1" s="1"/>
  <c r="M11" i="1"/>
  <c r="K11" i="1"/>
  <c r="H11" i="1"/>
  <c r="L11" i="1" s="1"/>
  <c r="P11" i="1" s="1"/>
  <c r="R11" i="1" s="1"/>
  <c r="S11" i="1" s="1"/>
  <c r="K10" i="1"/>
  <c r="H10" i="1"/>
  <c r="K9" i="1"/>
  <c r="M9" i="1" s="1"/>
  <c r="H9" i="1"/>
  <c r="K8" i="1"/>
  <c r="M8" i="1" s="1"/>
  <c r="H8" i="1"/>
  <c r="P7" i="1"/>
  <c r="R7" i="1" s="1"/>
  <c r="K7" i="1"/>
  <c r="H7" i="1"/>
  <c r="P15" i="1" l="1"/>
  <c r="R15" i="1" s="1"/>
  <c r="S15" i="1" s="1"/>
  <c r="P27" i="1"/>
  <c r="R27" i="1" s="1"/>
  <c r="S27" i="1" s="1"/>
  <c r="L21" i="1"/>
  <c r="P21" i="1" s="1"/>
  <c r="R21" i="1" s="1"/>
  <c r="S21" i="1" s="1"/>
  <c r="L17" i="1"/>
  <c r="P17" i="1" s="1"/>
  <c r="R17" i="1" s="1"/>
  <c r="S17" i="1" s="1"/>
  <c r="L13" i="1"/>
  <c r="P13" i="1" s="1"/>
  <c r="R13" i="1" s="1"/>
  <c r="S13" i="1" s="1"/>
  <c r="L9" i="1"/>
  <c r="P9" i="1" s="1"/>
  <c r="R9" i="1" s="1"/>
  <c r="S9" i="1" s="1"/>
  <c r="L37" i="1"/>
  <c r="P37" i="1" s="1"/>
  <c r="R37" i="1" s="1"/>
  <c r="S37" i="1" s="1"/>
  <c r="L33" i="1"/>
  <c r="P33" i="1" s="1"/>
  <c r="R33" i="1" s="1"/>
  <c r="S33" i="1" s="1"/>
  <c r="L29" i="1"/>
  <c r="P29" i="1" s="1"/>
  <c r="R29" i="1" s="1"/>
  <c r="S29" i="1" s="1"/>
  <c r="L25" i="1"/>
  <c r="P25" i="1" s="1"/>
  <c r="R25" i="1" s="1"/>
  <c r="S25" i="1" s="1"/>
  <c r="L8" i="1"/>
  <c r="P8" i="1" s="1"/>
  <c r="R8" i="1" s="1"/>
  <c r="S8" i="1" s="1"/>
  <c r="L10" i="1"/>
  <c r="L20" i="1"/>
  <c r="P20" i="1" s="1"/>
  <c r="R20" i="1" s="1"/>
  <c r="S20" i="1" s="1"/>
  <c r="L22" i="1"/>
  <c r="L31" i="1"/>
  <c r="P31" i="1" s="1"/>
  <c r="R31" i="1" s="1"/>
  <c r="S31" i="1" s="1"/>
  <c r="L36" i="1"/>
  <c r="P36" i="1" s="1"/>
  <c r="R36" i="1" s="1"/>
  <c r="S36" i="1" s="1"/>
  <c r="L38" i="1"/>
  <c r="P38" i="1" s="1"/>
  <c r="R38" i="1" s="1"/>
  <c r="S38" i="1" s="1"/>
  <c r="M18" i="1"/>
  <c r="P18" i="1" s="1"/>
  <c r="R18" i="1" s="1"/>
  <c r="S18" i="1" s="1"/>
  <c r="M22" i="1"/>
  <c r="M26" i="1"/>
  <c r="P26" i="1" s="1"/>
  <c r="R26" i="1" s="1"/>
  <c r="S26" i="1" s="1"/>
  <c r="M30" i="1"/>
  <c r="P30" i="1" s="1"/>
  <c r="R30" i="1" s="1"/>
  <c r="S30" i="1" s="1"/>
  <c r="M34" i="1"/>
  <c r="P34" i="1" s="1"/>
  <c r="R34" i="1" s="1"/>
  <c r="S34" i="1" s="1"/>
  <c r="M38" i="1"/>
  <c r="M10" i="1"/>
  <c r="M14" i="1"/>
  <c r="P14" i="1" s="1"/>
  <c r="R14" i="1" s="1"/>
  <c r="S14" i="1" s="1"/>
  <c r="P10" i="1" l="1"/>
  <c r="R10" i="1" s="1"/>
  <c r="S10" i="1" s="1"/>
  <c r="P22" i="1"/>
  <c r="R22" i="1" s="1"/>
  <c r="S22" i="1" s="1"/>
</calcChain>
</file>

<file path=xl/sharedStrings.xml><?xml version="1.0" encoding="utf-8"?>
<sst xmlns="http://schemas.openxmlformats.org/spreadsheetml/2006/main" count="137" uniqueCount="121">
  <si>
    <t>Riphah International University</t>
  </si>
  <si>
    <t>Course: Computer Architecture</t>
  </si>
  <si>
    <t>Faculty of Computing</t>
  </si>
  <si>
    <t>Teacher: Ms. Faria Karamat</t>
  </si>
  <si>
    <t>Program:  BS Computer Science</t>
  </si>
  <si>
    <t>Semester Assessments: Spring 2026</t>
  </si>
  <si>
    <t>Sr.No</t>
  </si>
  <si>
    <t>SAP ID</t>
  </si>
  <si>
    <t>Student Name</t>
  </si>
  <si>
    <t>Assignment # 01</t>
  </si>
  <si>
    <t>Assignment # 02</t>
  </si>
  <si>
    <t>Activity # 01(CLO 1)</t>
  </si>
  <si>
    <t>Activity # 02(CLO 2,3)</t>
  </si>
  <si>
    <t>Assignment</t>
  </si>
  <si>
    <t>Quiz # 01</t>
  </si>
  <si>
    <t>Quiz # 02</t>
  </si>
  <si>
    <t>Quiz</t>
  </si>
  <si>
    <t>Lab Task+Project</t>
  </si>
  <si>
    <t>Mid Term</t>
  </si>
  <si>
    <t>Sessional marks</t>
  </si>
  <si>
    <t>Final Term</t>
  </si>
  <si>
    <t>Total Marks</t>
  </si>
  <si>
    <t>Grades</t>
  </si>
  <si>
    <t>Number of Activities</t>
  </si>
  <si>
    <t>Total</t>
  </si>
  <si>
    <t xml:space="preserve">Weightage </t>
  </si>
  <si>
    <t>Absent/nosubmission</t>
  </si>
  <si>
    <t>Worst</t>
  </si>
  <si>
    <t>Average</t>
  </si>
  <si>
    <t>Best</t>
  </si>
  <si>
    <t>. AHMER MAHNOOR</t>
  </si>
  <si>
    <t>. YASMIN SAQBA</t>
  </si>
  <si>
    <t>N\/A ABBASI AYESHA</t>
  </si>
  <si>
    <t>. LUQMAN AMNA</t>
  </si>
  <si>
    <t>. JAMIL MANAHIL</t>
  </si>
  <si>
    <t>. ZAIN ARFA</t>
  </si>
  <si>
    <t>. FATIMA ANMOL</t>
  </si>
  <si>
    <t>. MARYAM LAIBA</t>
  </si>
  <si>
    <t>. KHURAM FATIMA</t>
  </si>
  <si>
    <t>HAQUE AIMEN</t>
  </si>
  <si>
    <t>IFTIKHAR AHMED EMAAN</t>
  </si>
  <si>
    <t>. AMJAD BAREERA</t>
  </si>
  <si>
    <t>. HAMID SARAH</t>
  </si>
  <si>
    <t>. ZAHID MAHNOOR</t>
  </si>
  <si>
    <t>. SADIA SUNDAS</t>
  </si>
  <si>
    <t>. HUSSAIN ALEESHA</t>
  </si>
  <si>
    <t>Semester Assessments CLO : Spring 2026</t>
  </si>
  <si>
    <t>Activity # 01</t>
  </si>
  <si>
    <t>Midterm</t>
  </si>
  <si>
    <t>CLO #</t>
  </si>
  <si>
    <t>CLO 1</t>
  </si>
  <si>
    <t>CLO 2</t>
  </si>
  <si>
    <t>CLO 3</t>
  </si>
  <si>
    <r>
      <rPr>
        <b/>
        <sz val="10"/>
        <color theme="1"/>
        <rFont val="Times New Roman"/>
      </rPr>
      <t>. FATIMA FIZZA</t>
    </r>
  </si>
  <si>
    <r>
      <rPr>
        <b/>
        <sz val="10"/>
        <color theme="1"/>
        <rFont val="Times New Roman"/>
      </rPr>
      <t>. NAWAZ SABA</t>
    </r>
  </si>
  <si>
    <r>
      <rPr>
        <b/>
        <sz val="10"/>
        <color theme="1"/>
        <rFont val="Times New Roman"/>
      </rPr>
      <t>. SIDDIQUE WARDAH</t>
    </r>
  </si>
  <si>
    <r>
      <rPr>
        <b/>
        <sz val="10"/>
        <color theme="1"/>
        <rFont val="Times New Roman"/>
      </rPr>
      <t>SALAM LARAIB</t>
    </r>
  </si>
  <si>
    <r>
      <rPr>
        <b/>
        <sz val="10"/>
        <color theme="1"/>
        <rFont val="Times New Roman"/>
      </rPr>
      <t>. ASHFAQ NOOR</t>
    </r>
  </si>
  <si>
    <r>
      <rPr>
        <b/>
        <sz val="10"/>
        <color theme="1"/>
        <rFont val="Times New Roman"/>
      </rPr>
      <t>KASHIF MALIK AMNA</t>
    </r>
  </si>
  <si>
    <r>
      <rPr>
        <b/>
        <sz val="10"/>
        <color theme="1"/>
        <rFont val="Times New Roman"/>
      </rPr>
      <t>. ALEEM EMAN</t>
    </r>
  </si>
  <si>
    <r>
      <rPr>
        <b/>
        <sz val="10"/>
        <color theme="1"/>
        <rFont val="Times New Roman"/>
      </rPr>
      <t>. ALTAF LAIBA</t>
    </r>
  </si>
  <si>
    <r>
      <rPr>
        <b/>
        <sz val="10"/>
        <color theme="1"/>
        <rFont val="Times New Roman"/>
      </rPr>
      <t>IRFAN KIANI LAIBA</t>
    </r>
  </si>
  <si>
    <r>
      <rPr>
        <b/>
        <sz val="10"/>
        <color theme="1"/>
        <rFont val="Times New Roman"/>
      </rPr>
      <t>. MALIK AYESHA</t>
    </r>
  </si>
  <si>
    <r>
      <rPr>
        <b/>
        <sz val="10"/>
        <color theme="1"/>
        <rFont val="Times New Roman"/>
      </rPr>
      <t>. FATIMA AROOJ</t>
    </r>
  </si>
  <si>
    <r>
      <rPr>
        <b/>
        <sz val="10"/>
        <color theme="1"/>
        <rFont val="Times New Roman"/>
      </rPr>
      <t>. KHALIL REHAB</t>
    </r>
  </si>
  <si>
    <r>
      <rPr>
        <b/>
        <sz val="10"/>
        <color theme="1"/>
        <rFont val="Times New Roman"/>
      </rPr>
      <t>. ZAHEED AYESHA</t>
    </r>
  </si>
  <si>
    <r>
      <rPr>
        <b/>
        <sz val="10"/>
        <color theme="1"/>
        <rFont val="Times New Roman"/>
      </rPr>
      <t>. AMIN BISMA</t>
    </r>
  </si>
  <si>
    <r>
      <rPr>
        <b/>
        <sz val="10"/>
        <color theme="1"/>
        <rFont val="Times New Roman"/>
      </rPr>
      <t>. MALIK SANA</t>
    </r>
  </si>
  <si>
    <r>
      <rPr>
        <b/>
        <sz val="10"/>
        <color theme="1"/>
        <rFont val="Times New Roman"/>
      </rPr>
      <t>. MAHFOOZ AYESHA</t>
    </r>
  </si>
  <si>
    <r>
      <rPr>
        <b/>
        <sz val="10"/>
        <color theme="1"/>
        <rFont val="Times New Roman"/>
      </rPr>
      <t>. UZAIR MARYAM</t>
    </r>
  </si>
  <si>
    <r>
      <rPr>
        <b/>
        <sz val="10"/>
        <color theme="1"/>
        <rFont val="Times New Roman"/>
      </rPr>
      <t>HIJAB SATTI WANIA</t>
    </r>
  </si>
  <si>
    <r>
      <rPr>
        <b/>
        <sz val="10"/>
        <color theme="1"/>
        <rFont val="Times New Roman"/>
      </rPr>
      <t>. NOOR AREEBA</t>
    </r>
  </si>
  <si>
    <r>
      <rPr>
        <b/>
        <sz val="10"/>
        <color theme="1"/>
        <rFont val="Times New Roman"/>
      </rPr>
      <t>. JAHANGIR MAHAM</t>
    </r>
  </si>
  <si>
    <r>
      <rPr>
        <b/>
        <sz val="10"/>
        <color theme="1"/>
        <rFont val="Times New Roman"/>
      </rPr>
      <t>. TAHIR FATIMA</t>
    </r>
  </si>
  <si>
    <r>
      <rPr>
        <b/>
        <sz val="10"/>
        <color theme="1"/>
        <rFont val="Times New Roman"/>
      </rPr>
      <t>. ANSAR EMAN</t>
    </r>
  </si>
  <si>
    <r>
      <rPr>
        <b/>
        <sz val="10"/>
        <color theme="1"/>
        <rFont val="Times New Roman"/>
      </rPr>
      <t>. MAHMOOD IZZA</t>
    </r>
  </si>
  <si>
    <r>
      <rPr>
        <b/>
        <sz val="10"/>
        <color theme="1"/>
        <rFont val="Times New Roman"/>
      </rPr>
      <t>. RASHID MUQADDISA</t>
    </r>
  </si>
  <si>
    <r>
      <rPr>
        <b/>
        <sz val="10"/>
        <color theme="1"/>
        <rFont val="Times New Roman"/>
      </rPr>
      <t>. NOOR HORRIYA</t>
    </r>
  </si>
  <si>
    <r>
      <rPr>
        <b/>
        <sz val="10"/>
        <color theme="1"/>
        <rFont val="Times New Roman"/>
      </rPr>
      <t>. NASEER AREEBA</t>
    </r>
  </si>
  <si>
    <t>Teacher: Ms. Maria Latif</t>
  </si>
  <si>
    <t>FATIMA EMAN</t>
  </si>
  <si>
    <t xml:space="preserve"> SAJID ALISHBA</t>
  </si>
  <si>
    <t xml:space="preserve"> KANWAL ANISA </t>
  </si>
  <si>
    <t xml:space="preserve">SHAFIQUE AIMAN </t>
  </si>
  <si>
    <t>KIRAN MARIA</t>
  </si>
  <si>
    <t>YAQOOB IQRA</t>
  </si>
  <si>
    <t>MUKHTAR ASAD AYESHA</t>
  </si>
  <si>
    <t>AKMAL AYESHA</t>
  </si>
  <si>
    <t>SADIQA BIB</t>
  </si>
  <si>
    <t>FATEH NAGARASH</t>
  </si>
  <si>
    <t>NADEEM AROOSA</t>
  </si>
  <si>
    <t>JAMIL AMNA</t>
  </si>
  <si>
    <t>ASIF MAHNOOR</t>
  </si>
  <si>
    <t xml:space="preserve">RIZWAN HAJRA </t>
  </si>
  <si>
    <t>SOHAIL MARYAM</t>
  </si>
  <si>
    <t>ASIF ESHA</t>
  </si>
  <si>
    <t>LAIBA JAMIL LAIBA</t>
  </si>
  <si>
    <t>AKHLAQ ALEEHA</t>
  </si>
  <si>
    <t>ARSHAD IMAN</t>
  </si>
  <si>
    <t>ARSHAD SANA</t>
  </si>
  <si>
    <t>QANDEEL USVA</t>
  </si>
  <si>
    <t>SAFDAR MARYAM</t>
  </si>
  <si>
    <t>KHAN JAWERIYA</t>
  </si>
  <si>
    <t>AFTAB SAMIYYA</t>
  </si>
  <si>
    <t>SIDDIQA KAHOUT LEENA</t>
  </si>
  <si>
    <t xml:space="preserve">GUL NIMRA </t>
  </si>
  <si>
    <t>IRSHAD MALIK IFRA</t>
  </si>
  <si>
    <t>QADEER RAHAT</t>
  </si>
  <si>
    <t>QADEER SABAHAT</t>
  </si>
  <si>
    <t>WAHID WAFI</t>
  </si>
  <si>
    <t>ABBASI MADIHA</t>
  </si>
  <si>
    <t>ALVI HANZLA</t>
  </si>
  <si>
    <t>ABDUL RAB AFRAH</t>
  </si>
  <si>
    <t>HUMAYON AZKA</t>
  </si>
  <si>
    <t>HBIB MANAHIL</t>
  </si>
  <si>
    <t>BUTT AYESHA</t>
  </si>
  <si>
    <t>FATIMA RIDA</t>
  </si>
  <si>
    <t>IRFAN FALAK</t>
  </si>
  <si>
    <t>ZAREEN KUBRA</t>
  </si>
  <si>
    <t>Course: Business Process Engineering (BPE)</t>
  </si>
  <si>
    <t>Program:  BSSE Semester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</si>
</sst>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"/>
    <numFmt numFmtId="165" formatCode="0.0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sz val="12"/>
      <color theme="1"/>
      <name val="Calibri"/>
    </font>
    <font>
      <b/>
      <sz val="14"/>
      <color theme="0"/>
      <name val="Calibri"/>
    </font>
    <font>
      <i/>
      <sz val="11"/>
      <color theme="0"/>
      <name val="Calibri"/>
    </font>
    <font>
      <i/>
      <sz val="11"/>
      <color rgb="FFFFFFFF"/>
      <name val="Calibri"/>
    </font>
    <font>
      <b/>
      <sz val="14"/>
      <color rgb="FFFFFFFF"/>
      <name val="Calibri"/>
    </font>
    <font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b/>
      <sz val="10"/>
      <color theme="1"/>
      <name val="Times New Roman"/>
    </font>
    <font>
      <i/>
      <sz val="17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6"/>
        <bgColor theme="6"/>
      </patternFill>
    </fill>
    <fill>
      <patternFill patternType="solid">
        <fgColor rgb="FFD99594"/>
        <bgColor rgb="FFD99594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textRotation="90"/>
    </xf>
    <xf numFmtId="0" fontId="6" fillId="2" borderId="2" xfId="0" applyFont="1" applyFill="1" applyBorder="1" applyAlignment="1">
      <alignment horizontal="center" vertical="center" textRotation="90"/>
    </xf>
    <xf numFmtId="0" fontId="6" fillId="2" borderId="3" xfId="0" applyFont="1" applyFill="1" applyBorder="1" applyAlignment="1">
      <alignment horizontal="center" vertical="center" textRotation="90"/>
    </xf>
    <xf numFmtId="0" fontId="7" fillId="2" borderId="1" xfId="0" applyFont="1" applyFill="1" applyBorder="1" applyAlignment="1">
      <alignment horizontal="center" vertical="center" textRotation="90" wrapText="1"/>
    </xf>
    <xf numFmtId="0" fontId="7" fillId="2" borderId="2" xfId="0" applyFont="1" applyFill="1" applyBorder="1" applyAlignment="1">
      <alignment horizontal="center" vertical="center" textRotation="90" wrapText="1"/>
    </xf>
    <xf numFmtId="0" fontId="8" fillId="2" borderId="2" xfId="0" applyFont="1" applyFill="1" applyBorder="1" applyAlignment="1">
      <alignment horizontal="center" vertical="center" textRotation="90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6" fillId="2" borderId="6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textRotation="90" wrapText="1"/>
    </xf>
    <xf numFmtId="0" fontId="9" fillId="2" borderId="7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vertical="center"/>
    </xf>
    <xf numFmtId="0" fontId="10" fillId="3" borderId="12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4" borderId="23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10" fillId="4" borderId="25" xfId="0" applyFont="1" applyFill="1" applyBorder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10" fillId="4" borderId="28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164" fontId="12" fillId="0" borderId="14" xfId="0" applyNumberFormat="1" applyFont="1" applyBorder="1" applyAlignment="1">
      <alignment horizontal="center" vertical="top" shrinkToFit="1"/>
    </xf>
    <xf numFmtId="0" fontId="13" fillId="0" borderId="15" xfId="0" applyFont="1" applyBorder="1" applyAlignment="1">
      <alignment horizontal="left" vertical="top" wrapText="1"/>
    </xf>
    <xf numFmtId="165" fontId="12" fillId="5" borderId="14" xfId="0" applyNumberFormat="1" applyFont="1" applyFill="1" applyBorder="1"/>
    <xf numFmtId="165" fontId="12" fillId="0" borderId="14" xfId="0" applyNumberFormat="1" applyFont="1" applyBorder="1"/>
    <xf numFmtId="0" fontId="10" fillId="5" borderId="14" xfId="0" applyFont="1" applyFill="1" applyBorder="1"/>
    <xf numFmtId="0" fontId="10" fillId="6" borderId="14" xfId="0" applyFont="1" applyFill="1" applyBorder="1"/>
    <xf numFmtId="165" fontId="3" fillId="0" borderId="14" xfId="0" applyNumberFormat="1" applyFont="1" applyBorder="1"/>
    <xf numFmtId="0" fontId="10" fillId="0" borderId="14" xfId="0" applyFont="1" applyBorder="1"/>
    <xf numFmtId="165" fontId="10" fillId="0" borderId="14" xfId="0" applyNumberFormat="1" applyFont="1" applyBorder="1"/>
    <xf numFmtId="1" fontId="10" fillId="4" borderId="14" xfId="0" applyNumberFormat="1" applyFont="1" applyFill="1" applyBorder="1" applyAlignment="1">
      <alignment horizontal="center"/>
    </xf>
    <xf numFmtId="1" fontId="3" fillId="4" borderId="14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5" borderId="0" xfId="0" applyFont="1" applyFill="1"/>
    <xf numFmtId="0" fontId="10" fillId="0" borderId="0" xfId="0" applyFont="1"/>
    <xf numFmtId="0" fontId="10" fillId="7" borderId="14" xfId="0" applyFont="1" applyFill="1" applyBorder="1"/>
    <xf numFmtId="0" fontId="10" fillId="7" borderId="0" xfId="0" applyFont="1" applyFill="1"/>
    <xf numFmtId="0" fontId="10" fillId="8" borderId="14" xfId="0" applyFont="1" applyFill="1" applyBorder="1"/>
    <xf numFmtId="0" fontId="10" fillId="9" borderId="0" xfId="0" applyFont="1" applyFill="1"/>
    <xf numFmtId="0" fontId="10" fillId="8" borderId="0" xfId="0" applyFont="1" applyFill="1"/>
    <xf numFmtId="0" fontId="10" fillId="9" borderId="14" xfId="0" applyFont="1" applyFill="1" applyBorder="1"/>
    <xf numFmtId="0" fontId="15" fillId="10" borderId="14" xfId="0" applyFont="1" applyFill="1" applyBorder="1"/>
    <xf numFmtId="0" fontId="15" fillId="11" borderId="14" xfId="0" applyFont="1" applyFill="1" applyBorder="1"/>
    <xf numFmtId="0" fontId="15" fillId="12" borderId="14" xfId="0" applyFont="1" applyFill="1" applyBorder="1"/>
    <xf numFmtId="0" fontId="15" fillId="10" borderId="0" xfId="0" applyFont="1" applyFill="1"/>
    <xf numFmtId="0" fontId="10" fillId="4" borderId="14" xfId="0" applyFont="1" applyFill="1" applyBorder="1" applyAlignment="1">
      <alignment horizontal="center"/>
    </xf>
    <xf numFmtId="0" fontId="10" fillId="4" borderId="34" xfId="0" applyFont="1" applyFill="1" applyBorder="1" applyAlignment="1">
      <alignment horizontal="center"/>
    </xf>
    <xf numFmtId="0" fontId="15" fillId="5" borderId="14" xfId="0" applyFont="1" applyFill="1" applyBorder="1"/>
    <xf numFmtId="1" fontId="15" fillId="0" borderId="0" xfId="0" applyNumberFormat="1" applyFont="1"/>
    <xf numFmtId="0" fontId="15" fillId="0" borderId="14" xfId="0" applyFont="1" applyBorder="1"/>
    <xf numFmtId="0" fontId="6" fillId="2" borderId="8" xfId="0" applyFont="1" applyFill="1" applyBorder="1" applyAlignment="1">
      <alignment horizontal="center" vertical="center" textRotation="90" wrapText="1"/>
    </xf>
    <xf numFmtId="0" fontId="11" fillId="0" borderId="19" xfId="0" applyFont="1" applyBorder="1"/>
    <xf numFmtId="0" fontId="11" fillId="0" borderId="30" xfId="0" applyFont="1" applyBorder="1"/>
    <xf numFmtId="0" fontId="10" fillId="3" borderId="9" xfId="0" applyFont="1" applyFill="1" applyBorder="1" applyAlignment="1">
      <alignment horizontal="center"/>
    </xf>
    <xf numFmtId="0" fontId="11" fillId="0" borderId="10" xfId="0" applyFont="1" applyBorder="1"/>
    <xf numFmtId="0" fontId="11" fillId="0" borderId="11" xfId="0" applyFont="1" applyBorder="1"/>
    <xf numFmtId="0" fontId="10" fillId="4" borderId="20" xfId="0" applyFont="1" applyFill="1" applyBorder="1" applyAlignment="1">
      <alignment horizontal="center"/>
    </xf>
    <xf numFmtId="0" fontId="11" fillId="0" borderId="21" xfId="0" applyFont="1" applyBorder="1"/>
    <xf numFmtId="0" fontId="11" fillId="0" borderId="22" xfId="0" applyFont="1" applyBorder="1"/>
    <xf numFmtId="0" fontId="9" fillId="2" borderId="4" xfId="0" applyFont="1" applyFill="1" applyBorder="1" applyAlignment="1">
      <alignment horizontal="center" vertical="top" textRotation="90"/>
    </xf>
    <xf numFmtId="0" fontId="11" fillId="0" borderId="31" xfId="0" applyFont="1" applyBorder="1"/>
    <xf numFmtId="0" fontId="11" fillId="0" borderId="32" xfId="0" applyFont="1" applyBorder="1"/>
    <xf numFmtId="0" fontId="7" fillId="2" borderId="4" xfId="0" applyFont="1" applyFill="1" applyBorder="1" applyAlignment="1">
      <alignment horizontal="center" vertical="center" textRotation="90" wrapText="1"/>
    </xf>
    <xf numFmtId="0" fontId="11" fillId="0" borderId="33" xfId="0" applyFont="1" applyBorder="1"/>
    <xf numFmtId="0" fontId="14" fillId="2" borderId="4" xfId="0" applyFont="1" applyFill="1" applyBorder="1" applyAlignment="1">
      <alignment horizontal="center" vertical="center" textRotation="90" wrapText="1"/>
    </xf>
    <xf numFmtId="0" fontId="16" fillId="0" borderId="0" xfId="0" applyFont="1"/>
    <xf numFmtId="0" fontId="18" fillId="0" borderId="0" xfId="0" applyFont="1"/>
    <xf numFmtId="0" fontId="17" fillId="0" borderId="0" xfId="0" applyFont="1" applyAlignment="1">
      <alignment horizontal="left"/>
    </xf>
    <xf numFmtId="0" fontId="0" fillId="0" borderId="35" xfId="0" applyBorder="1" applyAlignment="1">
      <alignment vertical="center"/>
    </xf>
    <xf numFmtId="0" fontId="0" fillId="13" borderId="35" xfId="0" applyFill="1" applyBorder="1" applyAlignment="1">
      <alignment vertical="center"/>
    </xf>
    <xf numFmtId="0" fontId="18" fillId="0" borderId="0" xfId="0" applyFont="1" applyAlignment="1">
      <alignment horizontal="left"/>
    </xf>
    <xf numFmtId="0" fontId="1" fillId="0" borderId="0" xfId="1"/>
    <xf numFmtId="0" fontId="10" fillId="0" borderId="23" xfId="0" applyFont="1" applyBorder="1" applyAlignment="1">
      <alignment horizontal="center"/>
    </xf>
    <xf numFmtId="0" fontId="10" fillId="0" borderId="34" xfId="0" applyFont="1" applyBorder="1"/>
    <xf numFmtId="0" fontId="10" fillId="6" borderId="34" xfId="0" applyFont="1" applyFill="1" applyBorder="1"/>
    <xf numFmtId="165" fontId="3" fillId="0" borderId="34" xfId="0" applyNumberFormat="1" applyFont="1" applyBorder="1"/>
    <xf numFmtId="165" fontId="10" fillId="0" borderId="34" xfId="0" applyNumberFormat="1" applyFont="1" applyBorder="1"/>
    <xf numFmtId="1" fontId="10" fillId="4" borderId="34" xfId="0" applyNumberFormat="1" applyFont="1" applyFill="1" applyBorder="1" applyAlignment="1">
      <alignment horizontal="center"/>
    </xf>
    <xf numFmtId="1" fontId="3" fillId="4" borderId="34" xfId="0" applyNumberFormat="1" applyFont="1" applyFill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10" fillId="0" borderId="0" xfId="0" applyFont="1" applyBorder="1"/>
    <xf numFmtId="0" fontId="10" fillId="6" borderId="0" xfId="0" applyFont="1" applyFill="1" applyBorder="1"/>
    <xf numFmtId="165" fontId="3" fillId="0" borderId="0" xfId="0" applyNumberFormat="1" applyFont="1" applyBorder="1"/>
    <xf numFmtId="165" fontId="10" fillId="0" borderId="0" xfId="0" applyNumberFormat="1" applyFont="1" applyBorder="1"/>
    <xf numFmtId="1" fontId="10" fillId="0" borderId="0" xfId="0" applyNumberFormat="1" applyFont="1" applyBorder="1"/>
    <xf numFmtId="1" fontId="10" fillId="4" borderId="0" xfId="0" applyNumberFormat="1" applyFont="1" applyFill="1" applyBorder="1" applyAlignment="1">
      <alignment horizontal="center"/>
    </xf>
    <xf numFmtId="1" fontId="3" fillId="4" borderId="0" xfId="0" applyNumberFormat="1" applyFont="1" applyFill="1" applyBorder="1" applyAlignment="1">
      <alignment horizontal="center"/>
    </xf>
    <xf numFmtId="1" fontId="10" fillId="8" borderId="0" xfId="0" applyNumberFormat="1" applyFont="1" applyFill="1" applyBorder="1"/>
    <xf numFmtId="0" fontId="0" fillId="0" borderId="0" xfId="0" applyBorder="1"/>
    <xf numFmtId="0" fontId="10" fillId="9" borderId="34" xfId="0" applyFont="1" applyFill="1" applyBorder="1"/>
    <xf numFmtId="0" fontId="10" fillId="0" borderId="35" xfId="0" applyFont="1" applyBorder="1" applyAlignment="1">
      <alignment horizontal="center"/>
    </xf>
    <xf numFmtId="0" fontId="10" fillId="0" borderId="35" xfId="0" applyFont="1" applyBorder="1"/>
    <xf numFmtId="0" fontId="10" fillId="6" borderId="35" xfId="0" applyFont="1" applyFill="1" applyBorder="1"/>
    <xf numFmtId="165" fontId="3" fillId="0" borderId="35" xfId="0" applyNumberFormat="1" applyFont="1" applyBorder="1"/>
    <xf numFmtId="165" fontId="10" fillId="0" borderId="35" xfId="0" applyNumberFormat="1" applyFont="1" applyBorder="1"/>
    <xf numFmtId="1" fontId="10" fillId="4" borderId="35" xfId="0" applyNumberFormat="1" applyFont="1" applyFill="1" applyBorder="1" applyAlignment="1">
      <alignment horizontal="center"/>
    </xf>
    <xf numFmtId="1" fontId="3" fillId="4" borderId="3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68A1F9CE-E873-4511-9E56-E2CE781B2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0"/>
  <sheetViews>
    <sheetView tabSelected="1" topLeftCell="A38" zoomScale="98" zoomScaleNormal="98" workbookViewId="0">
      <selection activeCell="A3" sqref="A3:C3"/>
    </sheetView>
  </sheetViews>
  <sheetFormatPr defaultColWidth="14.42578125" defaultRowHeight="15" customHeight="1"/>
  <cols>
    <col min="1" max="1" width="6" customWidth="1"/>
    <col min="2" max="2" width="10.140625" customWidth="1"/>
    <col min="3" max="3" width="27.85546875" customWidth="1"/>
    <col min="4" max="7" width="4.85546875" customWidth="1"/>
    <col min="8" max="8" width="8.28515625" customWidth="1"/>
    <col min="9" max="9" width="6.42578125" customWidth="1"/>
    <col min="10" max="10" width="4.85546875" customWidth="1"/>
    <col min="11" max="12" width="7.42578125" customWidth="1"/>
    <col min="13" max="14" width="5.7109375" customWidth="1"/>
    <col min="15" max="17" width="4.85546875" customWidth="1"/>
    <col min="18" max="18" width="6" customWidth="1"/>
    <col min="19" max="19" width="6.28515625" customWidth="1"/>
    <col min="20" max="28" width="8.7109375" customWidth="1"/>
  </cols>
  <sheetData>
    <row r="1" spans="1:28" ht="21">
      <c r="A1" s="1" t="s">
        <v>0</v>
      </c>
      <c r="H1" s="86" t="s">
        <v>119</v>
      </c>
      <c r="I1" s="86"/>
      <c r="J1" s="86"/>
      <c r="K1" s="86"/>
      <c r="L1" s="86"/>
      <c r="M1" s="86"/>
    </row>
    <row r="2" spans="1:28" ht="18.75">
      <c r="A2" s="81" t="s">
        <v>2</v>
      </c>
      <c r="H2" s="82" t="s">
        <v>79</v>
      </c>
    </row>
    <row r="3" spans="1:28" ht="20.25" customHeight="1">
      <c r="A3" s="83" t="s">
        <v>120</v>
      </c>
      <c r="B3" s="83"/>
      <c r="C3" s="83"/>
      <c r="H3" s="2"/>
    </row>
    <row r="4" spans="1:28" ht="15.75">
      <c r="A4" s="4" t="s">
        <v>5</v>
      </c>
      <c r="H4" s="2"/>
    </row>
    <row r="5" spans="1:28" ht="116.25" customHeight="1">
      <c r="A5" s="5" t="s">
        <v>6</v>
      </c>
      <c r="B5" s="6" t="s">
        <v>7</v>
      </c>
      <c r="C5" s="7" t="s">
        <v>8</v>
      </c>
      <c r="D5" s="8" t="s">
        <v>9</v>
      </c>
      <c r="E5" s="9" t="s">
        <v>10</v>
      </c>
      <c r="F5" s="10" t="s">
        <v>11</v>
      </c>
      <c r="G5" s="11" t="s">
        <v>12</v>
      </c>
      <c r="H5" s="12" t="s">
        <v>13</v>
      </c>
      <c r="I5" s="8" t="s">
        <v>14</v>
      </c>
      <c r="J5" s="9" t="s">
        <v>15</v>
      </c>
      <c r="K5" s="12" t="s">
        <v>16</v>
      </c>
      <c r="L5" s="13" t="s">
        <v>13</v>
      </c>
      <c r="M5" s="14" t="s">
        <v>16</v>
      </c>
      <c r="N5" s="15" t="s">
        <v>17</v>
      </c>
      <c r="O5" s="16" t="s">
        <v>18</v>
      </c>
      <c r="P5" s="17" t="s">
        <v>19</v>
      </c>
      <c r="Q5" s="12" t="s">
        <v>20</v>
      </c>
      <c r="R5" s="14" t="s">
        <v>21</v>
      </c>
      <c r="S5" s="66" t="s">
        <v>22</v>
      </c>
      <c r="T5" s="18"/>
      <c r="U5" s="18"/>
      <c r="V5" s="18"/>
      <c r="W5" s="18"/>
      <c r="X5" s="18"/>
      <c r="Y5" s="18"/>
      <c r="Z5" s="18"/>
      <c r="AA5" s="18"/>
      <c r="AB5" s="18"/>
    </row>
    <row r="6" spans="1:28">
      <c r="A6" s="69" t="s">
        <v>23</v>
      </c>
      <c r="B6" s="70"/>
      <c r="C6" s="71"/>
      <c r="D6" s="19">
        <v>1</v>
      </c>
      <c r="E6" s="20">
        <v>2</v>
      </c>
      <c r="F6" s="21">
        <v>3</v>
      </c>
      <c r="G6" s="22"/>
      <c r="H6" s="23" t="s">
        <v>24</v>
      </c>
      <c r="I6" s="19">
        <v>1</v>
      </c>
      <c r="J6" s="21">
        <v>2</v>
      </c>
      <c r="K6" s="23" t="s">
        <v>24</v>
      </c>
      <c r="L6" s="24"/>
      <c r="M6" s="19"/>
      <c r="N6" s="20"/>
      <c r="O6" s="21"/>
      <c r="P6" s="25"/>
      <c r="Q6" s="26"/>
      <c r="R6" s="19"/>
      <c r="S6" s="67"/>
    </row>
    <row r="7" spans="1:28">
      <c r="A7" s="72" t="s">
        <v>25</v>
      </c>
      <c r="B7" s="73"/>
      <c r="C7" s="74"/>
      <c r="D7" s="27">
        <v>30</v>
      </c>
      <c r="E7" s="28"/>
      <c r="F7" s="29">
        <v>10</v>
      </c>
      <c r="G7" s="30"/>
      <c r="H7" s="31">
        <f t="shared" ref="H7:H49" si="0">SUM(D7:F7)</f>
        <v>40</v>
      </c>
      <c r="I7" s="27">
        <v>10</v>
      </c>
      <c r="J7" s="29">
        <v>10</v>
      </c>
      <c r="K7" s="31">
        <f t="shared" ref="K7:K49" si="1">SUM(I7:J7)</f>
        <v>20</v>
      </c>
      <c r="L7" s="32">
        <v>10</v>
      </c>
      <c r="M7" s="27">
        <v>10</v>
      </c>
      <c r="N7" s="28">
        <v>25</v>
      </c>
      <c r="O7" s="29">
        <v>20</v>
      </c>
      <c r="P7" s="33">
        <f t="shared" ref="P7:P49" si="2">SUM(L7:O7)</f>
        <v>65</v>
      </c>
      <c r="Q7" s="34">
        <v>40</v>
      </c>
      <c r="R7" s="35">
        <f t="shared" ref="R7:R49" si="3">P7+Q7</f>
        <v>105</v>
      </c>
      <c r="S7" s="68"/>
    </row>
    <row r="8" spans="1:28">
      <c r="A8" s="36">
        <v>1</v>
      </c>
      <c r="B8" s="84">
        <v>44517</v>
      </c>
      <c r="C8" s="84" t="s">
        <v>81</v>
      </c>
      <c r="D8" s="39"/>
      <c r="E8" s="40"/>
      <c r="F8" s="41"/>
      <c r="G8" s="42"/>
      <c r="H8" s="43">
        <f t="shared" si="0"/>
        <v>0</v>
      </c>
      <c r="I8" s="40"/>
      <c r="J8" s="44"/>
      <c r="K8" s="43">
        <f t="shared" si="1"/>
        <v>0</v>
      </c>
      <c r="L8" s="45">
        <f t="shared" ref="L8:L49" si="4">(H8/$H$7)*$L$7</f>
        <v>0</v>
      </c>
      <c r="M8" s="44">
        <f t="shared" ref="M8:M49" si="5">(K8/$K$7)*$M$7</f>
        <v>0</v>
      </c>
      <c r="N8" s="44"/>
      <c r="O8" s="84">
        <v>18</v>
      </c>
      <c r="P8" s="46">
        <f t="shared" si="2"/>
        <v>18</v>
      </c>
      <c r="Q8" s="44"/>
      <c r="R8" s="47">
        <f t="shared" si="3"/>
        <v>18</v>
      </c>
      <c r="S8" s="48" t="str">
        <f t="shared" ref="S8:S49" si="6">IF(R8&gt;79,"A",IF(R8&gt;69,"B",IF(R8&gt;59,"C",IF(R8&gt;49,"D",IF(R8&gt;=0,"F")))))</f>
        <v>F</v>
      </c>
    </row>
    <row r="9" spans="1:28" ht="15.75" customHeight="1">
      <c r="A9" s="36">
        <v>2</v>
      </c>
      <c r="B9" s="84">
        <v>44527</v>
      </c>
      <c r="C9" s="84" t="s">
        <v>82</v>
      </c>
      <c r="D9" s="44">
        <v>28</v>
      </c>
      <c r="E9" s="44"/>
      <c r="F9" s="44">
        <v>8</v>
      </c>
      <c r="G9" s="42"/>
      <c r="H9" s="43">
        <f t="shared" si="0"/>
        <v>36</v>
      </c>
      <c r="I9" s="44"/>
      <c r="J9" s="44"/>
      <c r="K9" s="43">
        <f t="shared" si="1"/>
        <v>0</v>
      </c>
      <c r="L9" s="45">
        <f t="shared" si="4"/>
        <v>9</v>
      </c>
      <c r="M9" s="44">
        <f t="shared" si="5"/>
        <v>0</v>
      </c>
      <c r="N9" s="44"/>
      <c r="O9" s="84">
        <v>17</v>
      </c>
      <c r="P9" s="46">
        <f t="shared" si="2"/>
        <v>26</v>
      </c>
      <c r="Q9" s="44"/>
      <c r="R9" s="47">
        <f t="shared" si="3"/>
        <v>26</v>
      </c>
      <c r="S9" s="48" t="str">
        <f t="shared" si="6"/>
        <v>F</v>
      </c>
    </row>
    <row r="10" spans="1:28" ht="15.75" customHeight="1">
      <c r="A10" s="36">
        <v>3</v>
      </c>
      <c r="B10" s="84">
        <v>44560</v>
      </c>
      <c r="C10" s="84" t="s">
        <v>83</v>
      </c>
      <c r="D10" s="44">
        <v>27</v>
      </c>
      <c r="E10" s="44"/>
      <c r="F10" s="44">
        <v>7.5</v>
      </c>
      <c r="G10" s="42"/>
      <c r="H10" s="43">
        <f t="shared" si="0"/>
        <v>34.5</v>
      </c>
      <c r="I10" s="44"/>
      <c r="J10" s="44"/>
      <c r="K10" s="43">
        <f t="shared" si="1"/>
        <v>0</v>
      </c>
      <c r="L10" s="45">
        <f t="shared" si="4"/>
        <v>8.625</v>
      </c>
      <c r="M10" s="44">
        <f t="shared" si="5"/>
        <v>0</v>
      </c>
      <c r="N10" s="44"/>
      <c r="O10" s="84">
        <v>17</v>
      </c>
      <c r="P10" s="46">
        <f t="shared" si="2"/>
        <v>25.625</v>
      </c>
      <c r="Q10" s="44"/>
      <c r="R10" s="47">
        <f t="shared" si="3"/>
        <v>25.625</v>
      </c>
      <c r="S10" s="48" t="str">
        <f t="shared" si="6"/>
        <v>F</v>
      </c>
    </row>
    <row r="11" spans="1:28" ht="15.75" customHeight="1">
      <c r="A11" s="36">
        <v>4</v>
      </c>
      <c r="B11" s="85">
        <v>44565</v>
      </c>
      <c r="C11" s="85" t="s">
        <v>84</v>
      </c>
      <c r="D11" s="44">
        <v>28</v>
      </c>
      <c r="E11" s="44"/>
      <c r="F11" s="44">
        <v>8.5</v>
      </c>
      <c r="G11" s="42"/>
      <c r="H11" s="43">
        <f t="shared" si="0"/>
        <v>36.5</v>
      </c>
      <c r="I11" s="44"/>
      <c r="J11" s="44"/>
      <c r="K11" s="43">
        <f t="shared" si="1"/>
        <v>0</v>
      </c>
      <c r="L11" s="45">
        <f t="shared" si="4"/>
        <v>9.125</v>
      </c>
      <c r="M11" s="44">
        <f t="shared" si="5"/>
        <v>0</v>
      </c>
      <c r="N11" s="44"/>
      <c r="O11" s="85">
        <v>18</v>
      </c>
      <c r="P11" s="46">
        <f t="shared" si="2"/>
        <v>27.125</v>
      </c>
      <c r="Q11" s="44"/>
      <c r="R11" s="47">
        <f t="shared" si="3"/>
        <v>27.125</v>
      </c>
      <c r="S11" s="48" t="str">
        <f t="shared" si="6"/>
        <v>F</v>
      </c>
      <c r="U11" s="49"/>
      <c r="V11" s="50" t="s">
        <v>26</v>
      </c>
    </row>
    <row r="12" spans="1:28" ht="15.75" customHeight="1">
      <c r="A12" s="36">
        <v>5</v>
      </c>
      <c r="B12" s="84">
        <v>44566</v>
      </c>
      <c r="C12" s="84" t="s">
        <v>85</v>
      </c>
      <c r="D12" s="44">
        <v>28.5</v>
      </c>
      <c r="E12" s="44"/>
      <c r="F12" s="44">
        <v>7.5</v>
      </c>
      <c r="G12" s="42"/>
      <c r="H12" s="43">
        <f t="shared" si="0"/>
        <v>36</v>
      </c>
      <c r="I12" s="44"/>
      <c r="J12" s="44"/>
      <c r="K12" s="43">
        <f t="shared" si="1"/>
        <v>0</v>
      </c>
      <c r="L12" s="45">
        <f t="shared" si="4"/>
        <v>9</v>
      </c>
      <c r="M12" s="44">
        <f t="shared" si="5"/>
        <v>0</v>
      </c>
      <c r="N12" s="44"/>
      <c r="O12" s="84">
        <v>19</v>
      </c>
      <c r="P12" s="46">
        <f t="shared" si="2"/>
        <v>28</v>
      </c>
      <c r="Q12" s="44"/>
      <c r="R12" s="47">
        <f t="shared" si="3"/>
        <v>28</v>
      </c>
      <c r="S12" s="48" t="str">
        <f t="shared" si="6"/>
        <v>F</v>
      </c>
      <c r="U12" s="50"/>
      <c r="V12" s="50"/>
    </row>
    <row r="13" spans="1:28" ht="15.75" customHeight="1">
      <c r="A13" s="36">
        <v>6</v>
      </c>
      <c r="B13" s="84">
        <v>44587</v>
      </c>
      <c r="C13" s="84" t="s">
        <v>86</v>
      </c>
      <c r="D13" s="44">
        <v>28.5</v>
      </c>
      <c r="E13" s="44"/>
      <c r="F13" s="51">
        <v>4.5</v>
      </c>
      <c r="G13" s="42"/>
      <c r="H13" s="43">
        <f t="shared" si="0"/>
        <v>33</v>
      </c>
      <c r="I13" s="44"/>
      <c r="J13" s="44"/>
      <c r="K13" s="43">
        <f t="shared" si="1"/>
        <v>0</v>
      </c>
      <c r="L13" s="45">
        <f t="shared" si="4"/>
        <v>8.25</v>
      </c>
      <c r="M13" s="44">
        <f t="shared" si="5"/>
        <v>0</v>
      </c>
      <c r="N13" s="44"/>
      <c r="O13" s="84">
        <v>19</v>
      </c>
      <c r="P13" s="46">
        <f t="shared" si="2"/>
        <v>27.25</v>
      </c>
      <c r="Q13" s="44"/>
      <c r="R13" s="47">
        <f t="shared" si="3"/>
        <v>27.25</v>
      </c>
      <c r="S13" s="48" t="str">
        <f t="shared" si="6"/>
        <v>F</v>
      </c>
      <c r="U13" s="52"/>
      <c r="V13" s="50" t="s">
        <v>27</v>
      </c>
    </row>
    <row r="14" spans="1:28" ht="15.75" customHeight="1">
      <c r="A14" s="36">
        <v>7</v>
      </c>
      <c r="B14" s="84">
        <v>44654</v>
      </c>
      <c r="C14" s="84" t="s">
        <v>87</v>
      </c>
      <c r="D14" s="53">
        <v>29</v>
      </c>
      <c r="E14" s="44"/>
      <c r="F14" s="44">
        <v>8.5</v>
      </c>
      <c r="G14" s="42"/>
      <c r="H14" s="43">
        <f t="shared" si="0"/>
        <v>37.5</v>
      </c>
      <c r="I14" s="44"/>
      <c r="J14" s="44"/>
      <c r="K14" s="43">
        <f t="shared" si="1"/>
        <v>0</v>
      </c>
      <c r="L14" s="45">
        <f t="shared" si="4"/>
        <v>9.375</v>
      </c>
      <c r="M14" s="44">
        <f t="shared" si="5"/>
        <v>0</v>
      </c>
      <c r="N14" s="44"/>
      <c r="O14" s="84">
        <v>20</v>
      </c>
      <c r="P14" s="46">
        <f t="shared" si="2"/>
        <v>29.375</v>
      </c>
      <c r="Q14" s="44"/>
      <c r="R14" s="47">
        <f t="shared" si="3"/>
        <v>29.375</v>
      </c>
      <c r="S14" s="48" t="str">
        <f t="shared" si="6"/>
        <v>F</v>
      </c>
      <c r="U14" s="50"/>
      <c r="V14" s="50"/>
    </row>
    <row r="15" spans="1:28" ht="15.75" customHeight="1">
      <c r="A15" s="36">
        <v>8</v>
      </c>
      <c r="B15" s="84">
        <v>44804</v>
      </c>
      <c r="C15" s="84" t="s">
        <v>88</v>
      </c>
      <c r="D15" s="44">
        <v>26</v>
      </c>
      <c r="E15" s="44"/>
      <c r="F15" s="44">
        <v>8</v>
      </c>
      <c r="G15" s="42"/>
      <c r="H15" s="43">
        <f t="shared" si="0"/>
        <v>34</v>
      </c>
      <c r="I15" s="44"/>
      <c r="J15" s="44"/>
      <c r="K15" s="43">
        <f t="shared" si="1"/>
        <v>0</v>
      </c>
      <c r="L15" s="45">
        <f t="shared" si="4"/>
        <v>8.5</v>
      </c>
      <c r="M15" s="44">
        <f t="shared" si="5"/>
        <v>0</v>
      </c>
      <c r="N15" s="44"/>
      <c r="O15" s="84">
        <v>18</v>
      </c>
      <c r="P15" s="46">
        <f t="shared" si="2"/>
        <v>26.5</v>
      </c>
      <c r="Q15" s="44"/>
      <c r="R15" s="47">
        <f t="shared" si="3"/>
        <v>26.5</v>
      </c>
      <c r="S15" s="48" t="str">
        <f t="shared" si="6"/>
        <v>F</v>
      </c>
      <c r="U15" s="54"/>
      <c r="V15" s="50" t="s">
        <v>28</v>
      </c>
    </row>
    <row r="16" spans="1:28" ht="15.75" customHeight="1">
      <c r="A16" s="36">
        <v>9</v>
      </c>
      <c r="B16" s="84">
        <v>44815</v>
      </c>
      <c r="C16" s="84" t="s">
        <v>89</v>
      </c>
      <c r="D16" s="44">
        <v>26.5</v>
      </c>
      <c r="E16" s="44"/>
      <c r="F16" s="44">
        <v>7.5</v>
      </c>
      <c r="G16" s="42"/>
      <c r="H16" s="43">
        <f t="shared" si="0"/>
        <v>34</v>
      </c>
      <c r="I16" s="44"/>
      <c r="J16" s="44"/>
      <c r="K16" s="43">
        <f t="shared" si="1"/>
        <v>0</v>
      </c>
      <c r="L16" s="45">
        <f t="shared" si="4"/>
        <v>8.5</v>
      </c>
      <c r="M16" s="44">
        <f t="shared" si="5"/>
        <v>0</v>
      </c>
      <c r="N16" s="44"/>
      <c r="O16" s="84">
        <v>13.5</v>
      </c>
      <c r="P16" s="46">
        <f t="shared" si="2"/>
        <v>22</v>
      </c>
      <c r="Q16" s="44"/>
      <c r="R16" s="47">
        <f t="shared" si="3"/>
        <v>22</v>
      </c>
      <c r="S16" s="48" t="str">
        <f t="shared" si="6"/>
        <v>F</v>
      </c>
      <c r="U16" s="50"/>
      <c r="V16" s="50"/>
    </row>
    <row r="17" spans="1:22" ht="15.75" customHeight="1">
      <c r="A17" s="36">
        <v>10</v>
      </c>
      <c r="B17" s="84">
        <v>44880</v>
      </c>
      <c r="C17" s="84" t="s">
        <v>90</v>
      </c>
      <c r="D17" s="44">
        <v>27.5</v>
      </c>
      <c r="E17" s="44"/>
      <c r="F17" s="44">
        <v>7.5</v>
      </c>
      <c r="G17" s="42"/>
      <c r="H17" s="43">
        <f t="shared" si="0"/>
        <v>35</v>
      </c>
      <c r="I17" s="44"/>
      <c r="J17" s="44"/>
      <c r="K17" s="43">
        <f t="shared" si="1"/>
        <v>0</v>
      </c>
      <c r="L17" s="45">
        <f t="shared" si="4"/>
        <v>8.75</v>
      </c>
      <c r="M17" s="44">
        <f t="shared" si="5"/>
        <v>0</v>
      </c>
      <c r="N17" s="44"/>
      <c r="O17" s="84">
        <v>20</v>
      </c>
      <c r="P17" s="46">
        <f t="shared" si="2"/>
        <v>28.75</v>
      </c>
      <c r="Q17" s="44"/>
      <c r="R17" s="47">
        <f t="shared" si="3"/>
        <v>28.75</v>
      </c>
      <c r="S17" s="48" t="str">
        <f t="shared" si="6"/>
        <v>F</v>
      </c>
      <c r="U17" s="55"/>
      <c r="V17" s="50" t="s">
        <v>29</v>
      </c>
    </row>
    <row r="18" spans="1:22" ht="15.75" customHeight="1">
      <c r="A18" s="36">
        <v>11</v>
      </c>
      <c r="B18" s="85">
        <v>44937</v>
      </c>
      <c r="C18" s="85" t="s">
        <v>91</v>
      </c>
      <c r="D18" s="44">
        <v>27</v>
      </c>
      <c r="E18" s="44"/>
      <c r="F18" s="44">
        <v>6</v>
      </c>
      <c r="G18" s="42"/>
      <c r="H18" s="43">
        <f t="shared" si="0"/>
        <v>33</v>
      </c>
      <c r="I18" s="44"/>
      <c r="J18" s="44"/>
      <c r="K18" s="43">
        <f t="shared" si="1"/>
        <v>0</v>
      </c>
      <c r="L18" s="45">
        <f t="shared" si="4"/>
        <v>8.25</v>
      </c>
      <c r="M18" s="44">
        <f t="shared" si="5"/>
        <v>0</v>
      </c>
      <c r="N18" s="44"/>
      <c r="O18" s="85">
        <v>15</v>
      </c>
      <c r="P18" s="46">
        <f t="shared" si="2"/>
        <v>23.25</v>
      </c>
      <c r="Q18" s="44"/>
      <c r="R18" s="47">
        <f t="shared" si="3"/>
        <v>23.25</v>
      </c>
      <c r="S18" s="48" t="str">
        <f t="shared" si="6"/>
        <v>F</v>
      </c>
    </row>
    <row r="19" spans="1:22" ht="15.75" customHeight="1">
      <c r="A19" s="36">
        <v>12</v>
      </c>
      <c r="B19" s="84">
        <v>44957</v>
      </c>
      <c r="C19" s="84" t="s">
        <v>92</v>
      </c>
      <c r="D19" s="44">
        <v>28</v>
      </c>
      <c r="E19" s="44"/>
      <c r="F19" s="44">
        <v>8.5</v>
      </c>
      <c r="G19" s="42"/>
      <c r="H19" s="43">
        <f t="shared" si="0"/>
        <v>36.5</v>
      </c>
      <c r="I19" s="44"/>
      <c r="J19" s="44"/>
      <c r="K19" s="43">
        <f t="shared" si="1"/>
        <v>0</v>
      </c>
      <c r="L19" s="45">
        <f t="shared" si="4"/>
        <v>9.125</v>
      </c>
      <c r="M19" s="44">
        <f t="shared" si="5"/>
        <v>0</v>
      </c>
      <c r="N19" s="44"/>
      <c r="O19" s="84">
        <v>17</v>
      </c>
      <c r="P19" s="46">
        <f t="shared" si="2"/>
        <v>26.125</v>
      </c>
      <c r="Q19" s="44"/>
      <c r="R19" s="47">
        <f t="shared" si="3"/>
        <v>26.125</v>
      </c>
      <c r="S19" s="48" t="str">
        <f t="shared" si="6"/>
        <v>F</v>
      </c>
    </row>
    <row r="20" spans="1:22" ht="15.75" customHeight="1">
      <c r="A20" s="36">
        <v>13</v>
      </c>
      <c r="B20" s="84">
        <v>45504</v>
      </c>
      <c r="C20" s="84" t="s">
        <v>93</v>
      </c>
      <c r="D20" s="44">
        <v>28</v>
      </c>
      <c r="E20" s="44"/>
      <c r="F20" s="44">
        <v>6</v>
      </c>
      <c r="G20" s="42"/>
      <c r="H20" s="43">
        <f t="shared" si="0"/>
        <v>34</v>
      </c>
      <c r="I20" s="44"/>
      <c r="J20" s="44"/>
      <c r="K20" s="43">
        <f t="shared" si="1"/>
        <v>0</v>
      </c>
      <c r="L20" s="45">
        <f t="shared" si="4"/>
        <v>8.5</v>
      </c>
      <c r="M20" s="44">
        <f t="shared" si="5"/>
        <v>0</v>
      </c>
      <c r="N20" s="44"/>
      <c r="O20" s="84">
        <v>20</v>
      </c>
      <c r="P20" s="46">
        <f t="shared" si="2"/>
        <v>28.5</v>
      </c>
      <c r="Q20" s="44"/>
      <c r="R20" s="47">
        <f t="shared" si="3"/>
        <v>28.5</v>
      </c>
      <c r="S20" s="48" t="str">
        <f t="shared" si="6"/>
        <v>F</v>
      </c>
    </row>
    <row r="21" spans="1:22" ht="15.75" customHeight="1">
      <c r="A21" s="36">
        <v>14</v>
      </c>
      <c r="B21" s="84">
        <v>45773</v>
      </c>
      <c r="C21" s="84" t="s">
        <v>94</v>
      </c>
      <c r="D21" s="44">
        <v>27.5</v>
      </c>
      <c r="E21" s="44"/>
      <c r="F21" s="44">
        <v>8.5</v>
      </c>
      <c r="G21" s="42"/>
      <c r="H21" s="43">
        <f t="shared" si="0"/>
        <v>36</v>
      </c>
      <c r="I21" s="44"/>
      <c r="J21" s="44"/>
      <c r="K21" s="43">
        <f t="shared" si="1"/>
        <v>0</v>
      </c>
      <c r="L21" s="45">
        <f t="shared" si="4"/>
        <v>9</v>
      </c>
      <c r="M21" s="44">
        <f t="shared" si="5"/>
        <v>0</v>
      </c>
      <c r="N21" s="44"/>
      <c r="O21" s="84">
        <v>19</v>
      </c>
      <c r="P21" s="46">
        <f t="shared" si="2"/>
        <v>28</v>
      </c>
      <c r="Q21" s="44"/>
      <c r="R21" s="47">
        <f t="shared" si="3"/>
        <v>28</v>
      </c>
      <c r="S21" s="48" t="str">
        <f t="shared" si="6"/>
        <v>F</v>
      </c>
    </row>
    <row r="22" spans="1:22" ht="15.75" customHeight="1">
      <c r="A22" s="36">
        <v>15</v>
      </c>
      <c r="B22" s="85">
        <v>45786</v>
      </c>
      <c r="C22" s="85" t="s">
        <v>95</v>
      </c>
      <c r="D22" s="44">
        <v>28</v>
      </c>
      <c r="E22" s="44"/>
      <c r="F22" s="44">
        <v>8.5</v>
      </c>
      <c r="G22" s="42"/>
      <c r="H22" s="43">
        <f t="shared" si="0"/>
        <v>36.5</v>
      </c>
      <c r="I22" s="44"/>
      <c r="J22" s="44"/>
      <c r="K22" s="43">
        <f t="shared" si="1"/>
        <v>0</v>
      </c>
      <c r="L22" s="45">
        <f t="shared" si="4"/>
        <v>9.125</v>
      </c>
      <c r="M22" s="44">
        <f t="shared" si="5"/>
        <v>0</v>
      </c>
      <c r="N22" s="44"/>
      <c r="O22" s="85">
        <v>13.5</v>
      </c>
      <c r="P22" s="46">
        <f t="shared" si="2"/>
        <v>22.625</v>
      </c>
      <c r="Q22" s="44"/>
      <c r="R22" s="47">
        <f t="shared" si="3"/>
        <v>22.625</v>
      </c>
      <c r="S22" s="48" t="str">
        <f t="shared" si="6"/>
        <v>F</v>
      </c>
    </row>
    <row r="23" spans="1:22" ht="15.75" customHeight="1">
      <c r="A23" s="36">
        <v>16</v>
      </c>
      <c r="B23" s="84">
        <v>45943</v>
      </c>
      <c r="C23" s="84" t="s">
        <v>96</v>
      </c>
      <c r="D23" s="44">
        <v>28</v>
      </c>
      <c r="E23" s="44"/>
      <c r="F23" s="44">
        <v>8</v>
      </c>
      <c r="G23" s="42"/>
      <c r="H23" s="43">
        <f t="shared" si="0"/>
        <v>36</v>
      </c>
      <c r="I23" s="44"/>
      <c r="J23" s="44"/>
      <c r="K23" s="43">
        <f t="shared" si="1"/>
        <v>0</v>
      </c>
      <c r="L23" s="45">
        <f t="shared" si="4"/>
        <v>9</v>
      </c>
      <c r="M23" s="44">
        <f t="shared" si="5"/>
        <v>0</v>
      </c>
      <c r="N23" s="44"/>
      <c r="O23" s="84">
        <v>19</v>
      </c>
      <c r="P23" s="46">
        <f t="shared" si="2"/>
        <v>28</v>
      </c>
      <c r="Q23" s="44"/>
      <c r="R23" s="47">
        <f t="shared" si="3"/>
        <v>28</v>
      </c>
      <c r="S23" s="48" t="str">
        <f t="shared" si="6"/>
        <v>F</v>
      </c>
    </row>
    <row r="24" spans="1:22" ht="15.75" customHeight="1">
      <c r="A24" s="36">
        <v>17</v>
      </c>
      <c r="B24" s="85">
        <v>46174</v>
      </c>
      <c r="C24" s="85" t="s">
        <v>97</v>
      </c>
      <c r="D24" s="44">
        <v>25</v>
      </c>
      <c r="E24" s="44"/>
      <c r="F24" s="44">
        <v>7</v>
      </c>
      <c r="G24" s="42"/>
      <c r="H24" s="43">
        <f t="shared" si="0"/>
        <v>32</v>
      </c>
      <c r="I24" s="44"/>
      <c r="J24" s="44"/>
      <c r="K24" s="43">
        <f t="shared" si="1"/>
        <v>0</v>
      </c>
      <c r="L24" s="45">
        <f t="shared" si="4"/>
        <v>8</v>
      </c>
      <c r="M24" s="44">
        <f t="shared" si="5"/>
        <v>0</v>
      </c>
      <c r="N24" s="44"/>
      <c r="O24" s="85">
        <v>15</v>
      </c>
      <c r="P24" s="46">
        <f t="shared" si="2"/>
        <v>23</v>
      </c>
      <c r="Q24" s="44"/>
      <c r="R24" s="47">
        <f t="shared" si="3"/>
        <v>23</v>
      </c>
      <c r="S24" s="48" t="str">
        <f t="shared" si="6"/>
        <v>F</v>
      </c>
    </row>
    <row r="25" spans="1:22" ht="15.75" customHeight="1">
      <c r="A25" s="36">
        <v>18</v>
      </c>
      <c r="B25" s="84">
        <v>46188</v>
      </c>
      <c r="C25" s="84" t="s">
        <v>98</v>
      </c>
      <c r="D25" s="44">
        <v>25</v>
      </c>
      <c r="E25" s="44"/>
      <c r="F25" s="44">
        <v>8</v>
      </c>
      <c r="G25" s="42"/>
      <c r="H25" s="43">
        <f t="shared" si="0"/>
        <v>33</v>
      </c>
      <c r="I25" s="44"/>
      <c r="J25" s="44"/>
      <c r="K25" s="43">
        <f t="shared" si="1"/>
        <v>0</v>
      </c>
      <c r="L25" s="45">
        <f t="shared" si="4"/>
        <v>8.25</v>
      </c>
      <c r="M25" s="44">
        <f t="shared" si="5"/>
        <v>0</v>
      </c>
      <c r="N25" s="44"/>
      <c r="O25" s="84">
        <v>19</v>
      </c>
      <c r="P25" s="46">
        <f t="shared" si="2"/>
        <v>27.25</v>
      </c>
      <c r="Q25" s="44"/>
      <c r="R25" s="47">
        <f t="shared" si="3"/>
        <v>27.25</v>
      </c>
      <c r="S25" s="48" t="str">
        <f t="shared" si="6"/>
        <v>F</v>
      </c>
    </row>
    <row r="26" spans="1:22" ht="15.75" customHeight="1">
      <c r="A26" s="36">
        <v>19</v>
      </c>
      <c r="B26" s="84">
        <v>46189</v>
      </c>
      <c r="C26" s="84" t="s">
        <v>99</v>
      </c>
      <c r="D26" s="44">
        <v>25</v>
      </c>
      <c r="E26" s="44"/>
      <c r="F26" s="44">
        <v>8.5</v>
      </c>
      <c r="G26" s="42"/>
      <c r="H26" s="43">
        <f t="shared" si="0"/>
        <v>33.5</v>
      </c>
      <c r="I26" s="44"/>
      <c r="J26" s="44"/>
      <c r="K26" s="43">
        <f t="shared" si="1"/>
        <v>0</v>
      </c>
      <c r="L26" s="45">
        <f t="shared" si="4"/>
        <v>8.375</v>
      </c>
      <c r="M26" s="44">
        <f t="shared" si="5"/>
        <v>0</v>
      </c>
      <c r="N26" s="44"/>
      <c r="O26" s="84">
        <v>20</v>
      </c>
      <c r="P26" s="46">
        <f t="shared" si="2"/>
        <v>28.375</v>
      </c>
      <c r="Q26" s="44"/>
      <c r="R26" s="47">
        <f t="shared" si="3"/>
        <v>28.375</v>
      </c>
      <c r="S26" s="48" t="str">
        <f t="shared" si="6"/>
        <v>F</v>
      </c>
    </row>
    <row r="27" spans="1:22" ht="15.75" customHeight="1">
      <c r="A27" s="36">
        <v>20</v>
      </c>
      <c r="B27" s="84">
        <v>46416</v>
      </c>
      <c r="C27" s="84" t="s">
        <v>100</v>
      </c>
      <c r="D27" s="44">
        <v>28</v>
      </c>
      <c r="E27" s="44"/>
      <c r="F27" s="44">
        <v>8.5</v>
      </c>
      <c r="G27" s="42"/>
      <c r="H27" s="43">
        <f t="shared" si="0"/>
        <v>36.5</v>
      </c>
      <c r="I27" s="44"/>
      <c r="J27" s="44"/>
      <c r="K27" s="43">
        <f t="shared" si="1"/>
        <v>0</v>
      </c>
      <c r="L27" s="45">
        <f t="shared" si="4"/>
        <v>9.125</v>
      </c>
      <c r="M27" s="44">
        <f t="shared" si="5"/>
        <v>0</v>
      </c>
      <c r="N27" s="44"/>
      <c r="O27" s="84">
        <v>16</v>
      </c>
      <c r="P27" s="46">
        <f t="shared" si="2"/>
        <v>25.125</v>
      </c>
      <c r="Q27" s="44"/>
      <c r="R27" s="47">
        <f t="shared" si="3"/>
        <v>25.125</v>
      </c>
      <c r="S27" s="48" t="str">
        <f t="shared" si="6"/>
        <v>F</v>
      </c>
    </row>
    <row r="28" spans="1:22" ht="15.75" customHeight="1">
      <c r="A28" s="36">
        <v>21</v>
      </c>
      <c r="B28" s="84">
        <v>46481</v>
      </c>
      <c r="C28" s="84" t="s">
        <v>101</v>
      </c>
      <c r="D28" s="44">
        <v>27</v>
      </c>
      <c r="E28" s="44"/>
      <c r="F28" s="44">
        <v>8.5</v>
      </c>
      <c r="G28" s="42"/>
      <c r="H28" s="43">
        <f t="shared" si="0"/>
        <v>35.5</v>
      </c>
      <c r="I28" s="44"/>
      <c r="J28" s="44"/>
      <c r="K28" s="43">
        <f t="shared" si="1"/>
        <v>0</v>
      </c>
      <c r="L28" s="45">
        <f t="shared" si="4"/>
        <v>8.875</v>
      </c>
      <c r="M28" s="44">
        <f t="shared" si="5"/>
        <v>0</v>
      </c>
      <c r="N28" s="44"/>
      <c r="O28" s="84">
        <v>18</v>
      </c>
      <c r="P28" s="46">
        <f t="shared" si="2"/>
        <v>26.875</v>
      </c>
      <c r="Q28" s="44"/>
      <c r="R28" s="47">
        <f t="shared" si="3"/>
        <v>26.875</v>
      </c>
      <c r="S28" s="48" t="str">
        <f t="shared" si="6"/>
        <v>F</v>
      </c>
    </row>
    <row r="29" spans="1:22" ht="15.75" customHeight="1">
      <c r="A29" s="36">
        <v>22</v>
      </c>
      <c r="B29" s="84">
        <v>46549</v>
      </c>
      <c r="C29" s="84" t="s">
        <v>102</v>
      </c>
      <c r="D29" s="44">
        <v>28.5</v>
      </c>
      <c r="E29" s="44"/>
      <c r="F29" s="44">
        <v>8.5</v>
      </c>
      <c r="G29" s="42"/>
      <c r="H29" s="43">
        <f t="shared" si="0"/>
        <v>37</v>
      </c>
      <c r="I29" s="44"/>
      <c r="J29" s="44"/>
      <c r="K29" s="43">
        <f t="shared" si="1"/>
        <v>0</v>
      </c>
      <c r="L29" s="45">
        <f t="shared" si="4"/>
        <v>9.25</v>
      </c>
      <c r="M29" s="44">
        <f t="shared" si="5"/>
        <v>0</v>
      </c>
      <c r="N29" s="44"/>
      <c r="O29" s="84">
        <v>18</v>
      </c>
      <c r="P29" s="46">
        <f t="shared" si="2"/>
        <v>27.25</v>
      </c>
      <c r="Q29" s="44"/>
      <c r="R29" s="47">
        <f t="shared" si="3"/>
        <v>27.25</v>
      </c>
      <c r="S29" s="48" t="str">
        <f t="shared" si="6"/>
        <v>F</v>
      </c>
    </row>
    <row r="30" spans="1:22" ht="15.75" customHeight="1">
      <c r="A30" s="36">
        <v>23</v>
      </c>
      <c r="B30" s="84">
        <v>46891</v>
      </c>
      <c r="C30" s="84" t="s">
        <v>103</v>
      </c>
      <c r="D30" s="44">
        <v>28.5</v>
      </c>
      <c r="E30" s="44"/>
      <c r="F30" s="44">
        <v>8</v>
      </c>
      <c r="G30" s="42"/>
      <c r="H30" s="43">
        <f t="shared" si="0"/>
        <v>36.5</v>
      </c>
      <c r="I30" s="44"/>
      <c r="J30" s="44"/>
      <c r="K30" s="43">
        <f t="shared" si="1"/>
        <v>0</v>
      </c>
      <c r="L30" s="45">
        <f t="shared" si="4"/>
        <v>9.125</v>
      </c>
      <c r="M30" s="44">
        <f t="shared" si="5"/>
        <v>0</v>
      </c>
      <c r="N30" s="44"/>
      <c r="O30" s="84">
        <v>19</v>
      </c>
      <c r="P30" s="46">
        <f t="shared" si="2"/>
        <v>28.125</v>
      </c>
      <c r="Q30" s="44"/>
      <c r="R30" s="47">
        <f t="shared" si="3"/>
        <v>28.125</v>
      </c>
      <c r="S30" s="48" t="str">
        <f t="shared" si="6"/>
        <v>F</v>
      </c>
    </row>
    <row r="31" spans="1:22" ht="15.75" customHeight="1">
      <c r="A31" s="36">
        <v>24</v>
      </c>
      <c r="B31" s="84">
        <v>46963</v>
      </c>
      <c r="C31" s="84" t="s">
        <v>104</v>
      </c>
      <c r="D31" s="44">
        <v>28.5</v>
      </c>
      <c r="E31" s="44"/>
      <c r="F31" s="56">
        <v>7.5</v>
      </c>
      <c r="G31" s="42"/>
      <c r="H31" s="43">
        <f t="shared" si="0"/>
        <v>36</v>
      </c>
      <c r="I31" s="44"/>
      <c r="J31" s="44"/>
      <c r="K31" s="43">
        <f t="shared" si="1"/>
        <v>0</v>
      </c>
      <c r="L31" s="45">
        <f t="shared" si="4"/>
        <v>9</v>
      </c>
      <c r="M31" s="44">
        <f t="shared" si="5"/>
        <v>0</v>
      </c>
      <c r="N31" s="44"/>
      <c r="O31" s="84">
        <v>11</v>
      </c>
      <c r="P31" s="46">
        <f t="shared" si="2"/>
        <v>20</v>
      </c>
      <c r="Q31" s="44"/>
      <c r="R31" s="47">
        <f t="shared" si="3"/>
        <v>20</v>
      </c>
      <c r="S31" s="48" t="str">
        <f t="shared" si="6"/>
        <v>F</v>
      </c>
    </row>
    <row r="32" spans="1:22" ht="15.75" customHeight="1">
      <c r="A32" s="36">
        <v>25</v>
      </c>
      <c r="B32" s="84">
        <v>47054</v>
      </c>
      <c r="C32" s="84" t="s">
        <v>105</v>
      </c>
      <c r="D32" s="44">
        <v>28</v>
      </c>
      <c r="E32" s="44"/>
      <c r="F32" s="44">
        <v>8</v>
      </c>
      <c r="G32" s="42"/>
      <c r="H32" s="43">
        <f t="shared" si="0"/>
        <v>36</v>
      </c>
      <c r="I32" s="44"/>
      <c r="J32" s="44"/>
      <c r="K32" s="43">
        <f t="shared" si="1"/>
        <v>0</v>
      </c>
      <c r="L32" s="45">
        <f t="shared" si="4"/>
        <v>9</v>
      </c>
      <c r="M32" s="44">
        <f t="shared" si="5"/>
        <v>0</v>
      </c>
      <c r="N32" s="44"/>
      <c r="O32" s="84">
        <v>13</v>
      </c>
      <c r="P32" s="46">
        <f t="shared" si="2"/>
        <v>22</v>
      </c>
      <c r="Q32" s="44"/>
      <c r="R32" s="47">
        <f t="shared" si="3"/>
        <v>22</v>
      </c>
      <c r="S32" s="48" t="str">
        <f t="shared" si="6"/>
        <v>F</v>
      </c>
    </row>
    <row r="33" spans="1:19" ht="15.75" customHeight="1">
      <c r="A33" s="36">
        <v>26</v>
      </c>
      <c r="B33" s="84">
        <v>47133</v>
      </c>
      <c r="C33" s="84" t="s">
        <v>106</v>
      </c>
      <c r="D33" s="44">
        <v>28.5</v>
      </c>
      <c r="E33" s="44"/>
      <c r="F33" s="44">
        <v>8.5</v>
      </c>
      <c r="G33" s="42"/>
      <c r="H33" s="43">
        <f t="shared" si="0"/>
        <v>37</v>
      </c>
      <c r="I33" s="44"/>
      <c r="J33" s="44"/>
      <c r="K33" s="43">
        <f t="shared" si="1"/>
        <v>0</v>
      </c>
      <c r="L33" s="45">
        <f t="shared" si="4"/>
        <v>9.25</v>
      </c>
      <c r="M33" s="44">
        <f t="shared" si="5"/>
        <v>0</v>
      </c>
      <c r="N33" s="44"/>
      <c r="O33" s="84">
        <v>15</v>
      </c>
      <c r="P33" s="46">
        <f t="shared" si="2"/>
        <v>24.25</v>
      </c>
      <c r="Q33" s="44"/>
      <c r="R33" s="47">
        <f t="shared" si="3"/>
        <v>24.25</v>
      </c>
      <c r="S33" s="48" t="str">
        <f t="shared" si="6"/>
        <v>F</v>
      </c>
    </row>
    <row r="34" spans="1:19" ht="15.75" customHeight="1">
      <c r="A34" s="36">
        <v>27</v>
      </c>
      <c r="B34" s="84">
        <v>47234</v>
      </c>
      <c r="C34" s="84" t="s">
        <v>107</v>
      </c>
      <c r="D34" s="44">
        <v>28.5</v>
      </c>
      <c r="E34" s="44"/>
      <c r="F34" s="44">
        <v>7</v>
      </c>
      <c r="G34" s="42"/>
      <c r="H34" s="43">
        <f t="shared" si="0"/>
        <v>35.5</v>
      </c>
      <c r="I34" s="44"/>
      <c r="J34" s="44"/>
      <c r="K34" s="43">
        <f t="shared" si="1"/>
        <v>0</v>
      </c>
      <c r="L34" s="45">
        <f t="shared" si="4"/>
        <v>8.875</v>
      </c>
      <c r="M34" s="44">
        <f t="shared" si="5"/>
        <v>0</v>
      </c>
      <c r="N34" s="44"/>
      <c r="O34" s="84">
        <v>17</v>
      </c>
      <c r="P34" s="46">
        <f t="shared" si="2"/>
        <v>25.875</v>
      </c>
      <c r="Q34" s="44"/>
      <c r="R34" s="47">
        <f t="shared" si="3"/>
        <v>25.875</v>
      </c>
      <c r="S34" s="48" t="str">
        <f t="shared" si="6"/>
        <v>F</v>
      </c>
    </row>
    <row r="35" spans="1:19" ht="15.75" customHeight="1">
      <c r="A35" s="36">
        <v>28</v>
      </c>
      <c r="B35" s="84">
        <v>47235</v>
      </c>
      <c r="C35" s="84" t="s">
        <v>108</v>
      </c>
      <c r="D35" s="44">
        <v>28.5</v>
      </c>
      <c r="E35" s="44"/>
      <c r="F35" s="53">
        <v>9</v>
      </c>
      <c r="G35" s="42"/>
      <c r="H35" s="43">
        <f t="shared" si="0"/>
        <v>37.5</v>
      </c>
      <c r="I35" s="44"/>
      <c r="J35" s="44"/>
      <c r="K35" s="43">
        <f t="shared" si="1"/>
        <v>0</v>
      </c>
      <c r="L35" s="45">
        <f t="shared" si="4"/>
        <v>9.375</v>
      </c>
      <c r="M35" s="44">
        <f t="shared" si="5"/>
        <v>0</v>
      </c>
      <c r="N35" s="44"/>
      <c r="O35" s="84">
        <v>18</v>
      </c>
      <c r="P35" s="46">
        <f t="shared" si="2"/>
        <v>27.375</v>
      </c>
      <c r="Q35" s="44"/>
      <c r="R35" s="47">
        <f t="shared" si="3"/>
        <v>27.375</v>
      </c>
      <c r="S35" s="48" t="str">
        <f t="shared" si="6"/>
        <v>F</v>
      </c>
    </row>
    <row r="36" spans="1:19" ht="15.75" customHeight="1">
      <c r="A36" s="36">
        <v>29</v>
      </c>
      <c r="B36" s="84">
        <v>47322</v>
      </c>
      <c r="C36" s="84" t="s">
        <v>109</v>
      </c>
      <c r="D36" s="44">
        <v>28</v>
      </c>
      <c r="E36" s="44"/>
      <c r="F36" s="44">
        <v>6</v>
      </c>
      <c r="G36" s="42"/>
      <c r="H36" s="43">
        <f t="shared" si="0"/>
        <v>34</v>
      </c>
      <c r="I36" s="44"/>
      <c r="J36" s="44"/>
      <c r="K36" s="43">
        <f t="shared" si="1"/>
        <v>0</v>
      </c>
      <c r="L36" s="45">
        <f t="shared" si="4"/>
        <v>8.5</v>
      </c>
      <c r="M36" s="44">
        <f t="shared" si="5"/>
        <v>0</v>
      </c>
      <c r="N36" s="44"/>
      <c r="O36" s="84">
        <v>13</v>
      </c>
      <c r="P36" s="46">
        <f t="shared" si="2"/>
        <v>21.5</v>
      </c>
      <c r="Q36" s="44"/>
      <c r="R36" s="47">
        <f t="shared" si="3"/>
        <v>21.5</v>
      </c>
      <c r="S36" s="48" t="str">
        <f t="shared" si="6"/>
        <v>F</v>
      </c>
    </row>
    <row r="37" spans="1:19" ht="15.75" customHeight="1">
      <c r="A37" s="88">
        <v>30</v>
      </c>
      <c r="B37" s="84">
        <v>47383</v>
      </c>
      <c r="C37" s="84" t="s">
        <v>110</v>
      </c>
      <c r="D37" s="107">
        <v>27.5</v>
      </c>
      <c r="E37" s="89"/>
      <c r="F37" s="89">
        <v>7.5</v>
      </c>
      <c r="G37" s="90"/>
      <c r="H37" s="91">
        <f t="shared" si="0"/>
        <v>35</v>
      </c>
      <c r="I37" s="89"/>
      <c r="J37" s="89"/>
      <c r="K37" s="91">
        <f t="shared" si="1"/>
        <v>0</v>
      </c>
      <c r="L37" s="92">
        <f t="shared" si="4"/>
        <v>8.75</v>
      </c>
      <c r="M37" s="89">
        <f t="shared" si="5"/>
        <v>0</v>
      </c>
      <c r="N37" s="89"/>
      <c r="O37" s="84">
        <v>19</v>
      </c>
      <c r="P37" s="93">
        <f t="shared" si="2"/>
        <v>27.75</v>
      </c>
      <c r="Q37" s="89"/>
      <c r="R37" s="94">
        <f t="shared" si="3"/>
        <v>27.75</v>
      </c>
      <c r="S37" s="95" t="str">
        <f t="shared" si="6"/>
        <v>F</v>
      </c>
    </row>
    <row r="38" spans="1:19" ht="15.75" customHeight="1">
      <c r="A38" s="108">
        <v>31</v>
      </c>
      <c r="B38" s="84">
        <v>47583</v>
      </c>
      <c r="C38" s="84" t="s">
        <v>111</v>
      </c>
      <c r="D38" s="109">
        <v>28</v>
      </c>
      <c r="E38" s="109"/>
      <c r="F38" s="109">
        <v>8</v>
      </c>
      <c r="G38" s="110"/>
      <c r="H38" s="111">
        <f t="shared" si="0"/>
        <v>36</v>
      </c>
      <c r="I38" s="109"/>
      <c r="J38" s="109"/>
      <c r="K38" s="111">
        <f t="shared" si="1"/>
        <v>0</v>
      </c>
      <c r="L38" s="112">
        <f t="shared" si="4"/>
        <v>9</v>
      </c>
      <c r="M38" s="109">
        <f t="shared" si="5"/>
        <v>0</v>
      </c>
      <c r="N38" s="109"/>
      <c r="O38" s="84">
        <v>16</v>
      </c>
      <c r="P38" s="113">
        <f t="shared" si="2"/>
        <v>25</v>
      </c>
      <c r="Q38" s="109"/>
      <c r="R38" s="114">
        <f t="shared" si="3"/>
        <v>25</v>
      </c>
      <c r="S38" s="108" t="str">
        <f t="shared" si="6"/>
        <v>F</v>
      </c>
    </row>
    <row r="39" spans="1:19" ht="15.75" customHeight="1">
      <c r="A39" s="96"/>
      <c r="B39" s="84">
        <v>47608</v>
      </c>
      <c r="C39" s="84" t="s">
        <v>112</v>
      </c>
      <c r="D39" s="98"/>
      <c r="E39" s="98"/>
      <c r="F39" s="98"/>
      <c r="G39" s="99"/>
      <c r="H39" s="100"/>
      <c r="I39" s="98"/>
      <c r="J39" s="98"/>
      <c r="K39" s="100"/>
      <c r="L39" s="101"/>
      <c r="M39" s="98"/>
      <c r="N39" s="98"/>
      <c r="O39" s="102"/>
      <c r="P39" s="103"/>
      <c r="Q39" s="98"/>
      <c r="R39" s="104"/>
      <c r="S39" s="96"/>
    </row>
    <row r="40" spans="1:19" ht="15.75" customHeight="1">
      <c r="A40" s="96"/>
      <c r="B40" s="84">
        <v>47631</v>
      </c>
      <c r="C40" s="84" t="s">
        <v>113</v>
      </c>
      <c r="D40" s="98"/>
      <c r="E40" s="98"/>
      <c r="F40" s="98"/>
      <c r="G40" s="99"/>
      <c r="H40" s="100"/>
      <c r="I40" s="98"/>
      <c r="J40" s="98"/>
      <c r="K40" s="100"/>
      <c r="L40" s="101"/>
      <c r="M40" s="98"/>
      <c r="N40" s="98"/>
      <c r="O40" s="102"/>
      <c r="P40" s="103"/>
      <c r="Q40" s="98"/>
      <c r="R40" s="104"/>
      <c r="S40" s="96"/>
    </row>
    <row r="41" spans="1:19" ht="15.75" customHeight="1">
      <c r="A41" s="96"/>
      <c r="B41" s="84">
        <v>47876</v>
      </c>
      <c r="C41" s="84" t="s">
        <v>114</v>
      </c>
      <c r="D41" s="98"/>
      <c r="E41" s="98"/>
      <c r="F41" s="98"/>
      <c r="G41" s="99"/>
      <c r="H41" s="100"/>
      <c r="I41" s="98"/>
      <c r="J41" s="98"/>
      <c r="K41" s="100"/>
      <c r="L41" s="101"/>
      <c r="M41" s="98"/>
      <c r="N41" s="98"/>
      <c r="O41" s="102"/>
      <c r="P41" s="103"/>
      <c r="Q41" s="98"/>
      <c r="R41" s="104"/>
      <c r="S41" s="96"/>
    </row>
    <row r="42" spans="1:19" ht="15.75" customHeight="1">
      <c r="A42" s="96"/>
      <c r="B42" s="84">
        <v>48288</v>
      </c>
      <c r="C42" s="84" t="s">
        <v>115</v>
      </c>
      <c r="D42" s="98"/>
      <c r="E42" s="98"/>
      <c r="F42" s="98"/>
      <c r="G42" s="99"/>
      <c r="H42" s="100"/>
      <c r="I42" s="98"/>
      <c r="J42" s="98"/>
      <c r="K42" s="100"/>
      <c r="L42" s="101"/>
      <c r="M42" s="98"/>
      <c r="N42" s="98"/>
      <c r="O42" s="102"/>
      <c r="P42" s="103"/>
      <c r="Q42" s="98"/>
      <c r="R42" s="104"/>
      <c r="S42" s="96"/>
    </row>
    <row r="43" spans="1:19" ht="15.75" customHeight="1">
      <c r="A43" s="96"/>
      <c r="B43" s="84">
        <v>48403</v>
      </c>
      <c r="C43" s="84" t="s">
        <v>116</v>
      </c>
      <c r="D43" s="98"/>
      <c r="E43" s="98"/>
      <c r="F43" s="98"/>
      <c r="G43" s="99"/>
      <c r="H43" s="100"/>
      <c r="I43" s="98"/>
      <c r="J43" s="98"/>
      <c r="K43" s="100"/>
      <c r="L43" s="101"/>
      <c r="M43" s="98"/>
      <c r="N43" s="98"/>
      <c r="O43" s="102"/>
      <c r="P43" s="103"/>
      <c r="Q43" s="98"/>
      <c r="R43" s="104"/>
      <c r="S43" s="96"/>
    </row>
    <row r="44" spans="1:19" ht="15.75" customHeight="1">
      <c r="A44" s="96"/>
      <c r="B44" s="84">
        <v>48821</v>
      </c>
      <c r="C44" s="84" t="s">
        <v>80</v>
      </c>
      <c r="D44" s="98"/>
      <c r="E44" s="98"/>
      <c r="F44" s="98"/>
      <c r="G44" s="99"/>
      <c r="H44" s="100"/>
      <c r="I44" s="98"/>
      <c r="J44" s="98"/>
      <c r="K44" s="100"/>
      <c r="L44" s="101"/>
      <c r="M44" s="98"/>
      <c r="N44" s="98"/>
      <c r="O44" s="102"/>
      <c r="P44" s="103"/>
      <c r="Q44" s="98"/>
      <c r="R44" s="104"/>
      <c r="S44" s="96"/>
    </row>
    <row r="45" spans="1:19" ht="15.75" customHeight="1">
      <c r="A45" s="96"/>
      <c r="B45" s="84">
        <v>50029</v>
      </c>
      <c r="C45" s="84" t="s">
        <v>117</v>
      </c>
      <c r="D45" s="98"/>
      <c r="E45" s="98"/>
      <c r="F45" s="98"/>
      <c r="G45" s="99"/>
      <c r="H45" s="100"/>
      <c r="I45" s="98"/>
      <c r="J45" s="98"/>
      <c r="K45" s="100"/>
      <c r="L45" s="101"/>
      <c r="M45" s="98"/>
      <c r="N45" s="98"/>
      <c r="O45" s="105"/>
      <c r="P45" s="103"/>
      <c r="Q45" s="98"/>
      <c r="R45" s="104"/>
      <c r="S45" s="96"/>
    </row>
    <row r="46" spans="1:19" ht="15.75" customHeight="1">
      <c r="A46" s="96"/>
      <c r="B46" s="84">
        <v>51111</v>
      </c>
      <c r="C46" s="84" t="s">
        <v>118</v>
      </c>
      <c r="D46" s="98"/>
      <c r="E46" s="98"/>
      <c r="F46" s="98"/>
      <c r="G46" s="99"/>
      <c r="H46" s="100"/>
      <c r="I46" s="98"/>
      <c r="J46" s="98"/>
      <c r="K46" s="100"/>
      <c r="L46" s="101"/>
      <c r="M46" s="98"/>
      <c r="N46" s="98"/>
      <c r="O46" s="102"/>
      <c r="P46" s="103"/>
      <c r="Q46" s="98"/>
      <c r="R46" s="104"/>
      <c r="S46" s="96"/>
    </row>
    <row r="47" spans="1:19" ht="15.75" customHeight="1">
      <c r="A47" s="96"/>
      <c r="B47" s="87"/>
      <c r="C47" s="87"/>
      <c r="D47" s="98"/>
      <c r="E47" s="98"/>
      <c r="F47" s="98"/>
      <c r="G47" s="99"/>
      <c r="H47" s="100"/>
      <c r="I47" s="98"/>
      <c r="J47" s="98"/>
      <c r="K47" s="100"/>
      <c r="L47" s="101"/>
      <c r="M47" s="98"/>
      <c r="N47" s="98"/>
      <c r="O47" s="102"/>
      <c r="P47" s="103"/>
      <c r="Q47" s="98"/>
      <c r="R47" s="104"/>
      <c r="S47" s="96"/>
    </row>
    <row r="48" spans="1:19" ht="15.75" customHeight="1">
      <c r="A48" s="96"/>
      <c r="B48" s="87"/>
      <c r="C48" s="87"/>
      <c r="D48" s="98"/>
      <c r="E48" s="98"/>
      <c r="F48" s="98"/>
      <c r="G48" s="99"/>
      <c r="H48" s="100"/>
      <c r="I48" s="98"/>
      <c r="J48" s="98"/>
      <c r="K48" s="100"/>
      <c r="L48" s="101"/>
      <c r="M48" s="98"/>
      <c r="N48" s="98"/>
      <c r="O48" s="102"/>
      <c r="P48" s="103"/>
      <c r="Q48" s="98"/>
      <c r="R48" s="104"/>
      <c r="S48" s="96"/>
    </row>
    <row r="49" spans="1:19" ht="15.75" customHeight="1">
      <c r="A49" s="96"/>
      <c r="B49" s="97"/>
      <c r="C49" s="97"/>
      <c r="D49" s="98"/>
      <c r="E49" s="98"/>
      <c r="F49" s="98"/>
      <c r="G49" s="99"/>
      <c r="H49" s="100"/>
      <c r="I49" s="98"/>
      <c r="J49" s="98"/>
      <c r="K49" s="100"/>
      <c r="L49" s="101"/>
      <c r="M49" s="98"/>
      <c r="N49" s="98"/>
      <c r="O49" s="102"/>
      <c r="P49" s="103"/>
      <c r="Q49" s="98"/>
      <c r="R49" s="104"/>
      <c r="S49" s="96"/>
    </row>
    <row r="50" spans="1:19" ht="15.75" customHeight="1">
      <c r="A50" s="106"/>
      <c r="B50" s="97"/>
      <c r="C50" s="97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</row>
    <row r="51" spans="1:19" ht="15.75" customHeight="1">
      <c r="A51" s="106"/>
      <c r="B51" s="97"/>
      <c r="C51" s="97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</row>
    <row r="52" spans="1:19" ht="15.75" customHeight="1">
      <c r="A52" s="106"/>
      <c r="B52" s="97"/>
      <c r="C52" s="97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</row>
    <row r="53" spans="1:19" ht="15.75" customHeight="1">
      <c r="A53" s="106"/>
      <c r="B53" s="97"/>
      <c r="C53" s="97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</row>
    <row r="54" spans="1:19" ht="15.75" customHeight="1">
      <c r="A54" s="106"/>
      <c r="B54" s="97"/>
      <c r="C54" s="97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</row>
    <row r="55" spans="1:19" ht="15.75" customHeight="1">
      <c r="A55" s="106"/>
      <c r="B55" s="97"/>
      <c r="C55" s="97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</row>
    <row r="56" spans="1:19" ht="15.75" customHeight="1">
      <c r="A56" s="106"/>
      <c r="B56" s="97"/>
      <c r="C56" s="97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</row>
    <row r="57" spans="1:19" ht="15.75" customHeight="1">
      <c r="A57" s="106"/>
      <c r="B57" s="97"/>
      <c r="C57" s="97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1:19" ht="15.75" customHeight="1">
      <c r="A58" s="106"/>
      <c r="B58" s="97"/>
      <c r="C58" s="97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</row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S5:S7"/>
    <mergeCell ref="A6:C6"/>
    <mergeCell ref="A7:C7"/>
    <mergeCell ref="A3:C3"/>
    <mergeCell ref="H1:M1"/>
  </mergeCells>
  <pageMargins left="0.7" right="0.7" top="0.75" bottom="0.75" header="0" footer="0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9"/>
  <sheetViews>
    <sheetView workbookViewId="0"/>
  </sheetViews>
  <sheetFormatPr defaultColWidth="14.42578125" defaultRowHeight="15" customHeight="1"/>
  <cols>
    <col min="3" max="3" width="18.7109375" customWidth="1"/>
  </cols>
  <sheetData>
    <row r="1" spans="1:12" ht="15" customHeight="1">
      <c r="A1" s="1" t="s">
        <v>0</v>
      </c>
      <c r="G1" s="2" t="s">
        <v>1</v>
      </c>
    </row>
    <row r="2" spans="1:12" ht="15" customHeight="1">
      <c r="A2" s="3" t="s">
        <v>2</v>
      </c>
      <c r="G2" s="2" t="s">
        <v>3</v>
      </c>
    </row>
    <row r="3" spans="1:12">
      <c r="A3" s="4" t="s">
        <v>4</v>
      </c>
      <c r="B3" s="4"/>
      <c r="G3" s="2"/>
    </row>
    <row r="4" spans="1:12">
      <c r="A4" s="4" t="s">
        <v>46</v>
      </c>
      <c r="G4" s="2"/>
    </row>
    <row r="5" spans="1:12">
      <c r="A5" s="5" t="s">
        <v>6</v>
      </c>
      <c r="B5" s="6" t="s">
        <v>7</v>
      </c>
      <c r="C5" s="7" t="s">
        <v>8</v>
      </c>
      <c r="D5" s="75" t="s">
        <v>9</v>
      </c>
      <c r="E5" s="76"/>
      <c r="F5" s="77"/>
      <c r="G5" s="9" t="s">
        <v>47</v>
      </c>
      <c r="H5" s="78" t="s">
        <v>47</v>
      </c>
      <c r="I5" s="79"/>
      <c r="J5" s="80" t="s">
        <v>48</v>
      </c>
      <c r="K5" s="79"/>
    </row>
    <row r="6" spans="1:12">
      <c r="A6" s="69" t="s">
        <v>49</v>
      </c>
      <c r="B6" s="70"/>
      <c r="C6" s="71"/>
      <c r="D6" s="57" t="s">
        <v>50</v>
      </c>
      <c r="E6" s="58" t="s">
        <v>51</v>
      </c>
      <c r="F6" s="59" t="s">
        <v>52</v>
      </c>
      <c r="G6" s="60" t="s">
        <v>50</v>
      </c>
      <c r="H6" s="58" t="s">
        <v>51</v>
      </c>
      <c r="I6" s="59" t="s">
        <v>52</v>
      </c>
      <c r="J6" s="58" t="s">
        <v>51</v>
      </c>
      <c r="K6" s="59" t="s">
        <v>52</v>
      </c>
    </row>
    <row r="7" spans="1:12">
      <c r="A7" s="72" t="s">
        <v>25</v>
      </c>
      <c r="B7" s="73"/>
      <c r="C7" s="74"/>
      <c r="D7" s="61">
        <v>4</v>
      </c>
      <c r="E7" s="61">
        <v>14</v>
      </c>
      <c r="F7" s="61">
        <v>12</v>
      </c>
      <c r="G7" s="29">
        <v>10</v>
      </c>
      <c r="H7" s="62">
        <v>8</v>
      </c>
      <c r="I7" s="62">
        <v>2</v>
      </c>
      <c r="J7" s="62">
        <v>15</v>
      </c>
      <c r="K7" s="29">
        <v>15</v>
      </c>
    </row>
    <row r="8" spans="1:12">
      <c r="A8" s="36">
        <v>1</v>
      </c>
      <c r="B8" s="37">
        <v>55841</v>
      </c>
      <c r="C8" s="38" t="s">
        <v>53</v>
      </c>
      <c r="D8" s="63"/>
      <c r="E8" s="63"/>
      <c r="F8" s="63"/>
      <c r="G8" s="41"/>
      <c r="H8" s="41"/>
      <c r="I8" s="41"/>
      <c r="J8" s="42">
        <v>7</v>
      </c>
      <c r="K8" s="42">
        <v>6.5</v>
      </c>
      <c r="L8" s="64"/>
    </row>
    <row r="9" spans="1:12">
      <c r="A9" s="36">
        <v>2</v>
      </c>
      <c r="B9" s="37">
        <v>58789</v>
      </c>
      <c r="C9" s="38" t="s">
        <v>54</v>
      </c>
      <c r="D9" s="65">
        <v>4</v>
      </c>
      <c r="E9" s="65">
        <v>13</v>
      </c>
      <c r="F9" s="65">
        <v>11</v>
      </c>
      <c r="G9" s="44">
        <v>8</v>
      </c>
      <c r="H9" s="65"/>
      <c r="I9" s="65"/>
      <c r="J9" s="65">
        <v>9</v>
      </c>
      <c r="K9" s="65">
        <v>8</v>
      </c>
      <c r="L9" s="64"/>
    </row>
    <row r="10" spans="1:12">
      <c r="A10" s="36">
        <v>3</v>
      </c>
      <c r="B10" s="37">
        <v>59287</v>
      </c>
      <c r="C10" s="38" t="s">
        <v>55</v>
      </c>
      <c r="D10" s="65">
        <v>4</v>
      </c>
      <c r="E10" s="65">
        <v>12</v>
      </c>
      <c r="F10" s="65">
        <v>11</v>
      </c>
      <c r="G10" s="44">
        <v>7.5</v>
      </c>
      <c r="H10" s="65"/>
      <c r="I10" s="65"/>
      <c r="J10" s="65">
        <v>12</v>
      </c>
      <c r="K10" s="65">
        <v>8.5</v>
      </c>
      <c r="L10" s="64"/>
    </row>
    <row r="11" spans="1:12">
      <c r="A11" s="36">
        <v>4</v>
      </c>
      <c r="B11" s="37">
        <v>61996</v>
      </c>
      <c r="C11" s="38" t="s">
        <v>56</v>
      </c>
      <c r="D11" s="65">
        <v>4</v>
      </c>
      <c r="E11" s="65">
        <v>13</v>
      </c>
      <c r="F11" s="65">
        <v>11</v>
      </c>
      <c r="G11" s="44">
        <v>8.5</v>
      </c>
      <c r="H11" s="65"/>
      <c r="I11" s="65"/>
      <c r="J11" s="65">
        <v>9</v>
      </c>
      <c r="K11" s="65">
        <v>9</v>
      </c>
      <c r="L11" s="64"/>
    </row>
    <row r="12" spans="1:12">
      <c r="A12" s="36">
        <v>5</v>
      </c>
      <c r="B12" s="37">
        <v>62324</v>
      </c>
      <c r="C12" s="38" t="s">
        <v>57</v>
      </c>
      <c r="D12" s="65">
        <v>4</v>
      </c>
      <c r="E12" s="65">
        <v>12.5</v>
      </c>
      <c r="F12" s="65">
        <v>12</v>
      </c>
      <c r="G12" s="44">
        <v>7.5</v>
      </c>
      <c r="H12" s="65"/>
      <c r="I12" s="65"/>
      <c r="J12" s="65">
        <v>11</v>
      </c>
      <c r="K12" s="65">
        <v>14</v>
      </c>
      <c r="L12" s="64"/>
    </row>
    <row r="13" spans="1:12">
      <c r="A13" s="36">
        <v>6</v>
      </c>
      <c r="B13" s="37">
        <v>62360</v>
      </c>
      <c r="C13" s="38" t="s">
        <v>58</v>
      </c>
      <c r="D13" s="65">
        <v>4</v>
      </c>
      <c r="E13" s="65">
        <v>12.5</v>
      </c>
      <c r="F13" s="65">
        <v>12</v>
      </c>
      <c r="G13" s="44">
        <v>4.5</v>
      </c>
      <c r="H13" s="65"/>
      <c r="I13" s="65"/>
      <c r="J13" s="65">
        <v>7</v>
      </c>
      <c r="K13" s="65">
        <v>12</v>
      </c>
      <c r="L13" s="64"/>
    </row>
    <row r="14" spans="1:12">
      <c r="A14" s="36">
        <v>7</v>
      </c>
      <c r="B14" s="37">
        <v>62395</v>
      </c>
      <c r="C14" s="38" t="s">
        <v>59</v>
      </c>
      <c r="D14" s="65">
        <v>4</v>
      </c>
      <c r="E14" s="65">
        <v>13</v>
      </c>
      <c r="F14" s="65">
        <v>12</v>
      </c>
      <c r="G14" s="44">
        <v>8.5</v>
      </c>
      <c r="H14" s="65"/>
      <c r="I14" s="65"/>
      <c r="J14" s="65">
        <v>12</v>
      </c>
      <c r="K14" s="65">
        <v>8.5</v>
      </c>
      <c r="L14" s="64"/>
    </row>
    <row r="15" spans="1:12">
      <c r="A15" s="36">
        <v>8</v>
      </c>
      <c r="B15" s="37">
        <v>62431</v>
      </c>
      <c r="C15" s="38" t="s">
        <v>60</v>
      </c>
      <c r="D15" s="65">
        <v>4</v>
      </c>
      <c r="E15" s="65">
        <v>12</v>
      </c>
      <c r="F15" s="65">
        <v>10</v>
      </c>
      <c r="G15" s="44">
        <v>8</v>
      </c>
      <c r="H15" s="65"/>
      <c r="I15" s="65"/>
      <c r="J15" s="65">
        <v>11</v>
      </c>
      <c r="K15" s="65">
        <v>4</v>
      </c>
      <c r="L15" s="64"/>
    </row>
    <row r="16" spans="1:12">
      <c r="A16" s="36">
        <v>9</v>
      </c>
      <c r="B16" s="37">
        <v>62828</v>
      </c>
      <c r="C16" s="38" t="s">
        <v>61</v>
      </c>
      <c r="D16" s="65">
        <v>4</v>
      </c>
      <c r="E16" s="65">
        <v>11.5</v>
      </c>
      <c r="F16" s="65">
        <v>11</v>
      </c>
      <c r="G16" s="44">
        <v>7.5</v>
      </c>
      <c r="H16" s="65"/>
      <c r="I16" s="65"/>
      <c r="J16" s="65">
        <v>11</v>
      </c>
      <c r="K16" s="65">
        <v>8.5</v>
      </c>
      <c r="L16" s="64"/>
    </row>
    <row r="17" spans="1:12">
      <c r="A17" s="36">
        <v>10</v>
      </c>
      <c r="B17" s="37">
        <v>62853</v>
      </c>
      <c r="C17" s="38" t="s">
        <v>62</v>
      </c>
      <c r="D17" s="65">
        <v>4</v>
      </c>
      <c r="E17" s="65">
        <v>12.5</v>
      </c>
      <c r="F17" s="65">
        <v>11</v>
      </c>
      <c r="G17" s="44">
        <v>7.5</v>
      </c>
      <c r="H17" s="65"/>
      <c r="I17" s="65"/>
      <c r="J17" s="65">
        <v>12</v>
      </c>
      <c r="K17" s="65">
        <v>10.5</v>
      </c>
      <c r="L17" s="64"/>
    </row>
    <row r="18" spans="1:12">
      <c r="A18" s="36">
        <v>11</v>
      </c>
      <c r="B18" s="37">
        <v>62954</v>
      </c>
      <c r="C18" s="38" t="s">
        <v>63</v>
      </c>
      <c r="D18" s="65">
        <v>4</v>
      </c>
      <c r="E18" s="65">
        <v>12</v>
      </c>
      <c r="F18" s="65">
        <v>11</v>
      </c>
      <c r="G18" s="44">
        <v>6</v>
      </c>
      <c r="H18" s="65"/>
      <c r="I18" s="65"/>
      <c r="J18" s="65">
        <v>9</v>
      </c>
      <c r="K18" s="65">
        <v>4</v>
      </c>
      <c r="L18" s="64"/>
    </row>
    <row r="19" spans="1:12">
      <c r="A19" s="36">
        <v>12</v>
      </c>
      <c r="B19" s="37">
        <v>63043</v>
      </c>
      <c r="C19" s="38" t="s">
        <v>64</v>
      </c>
      <c r="D19" s="65">
        <v>4</v>
      </c>
      <c r="E19" s="65">
        <v>13</v>
      </c>
      <c r="F19" s="65">
        <v>11</v>
      </c>
      <c r="G19" s="44">
        <v>8.5</v>
      </c>
      <c r="H19" s="65"/>
      <c r="I19" s="65"/>
      <c r="J19" s="65">
        <v>12</v>
      </c>
      <c r="K19" s="65">
        <v>12</v>
      </c>
      <c r="L19" s="64"/>
    </row>
    <row r="20" spans="1:12">
      <c r="A20" s="36">
        <v>13</v>
      </c>
      <c r="B20" s="37">
        <v>63044</v>
      </c>
      <c r="C20" s="38" t="s">
        <v>65</v>
      </c>
      <c r="D20" s="65">
        <v>4</v>
      </c>
      <c r="E20" s="65">
        <v>13</v>
      </c>
      <c r="F20" s="65">
        <v>11</v>
      </c>
      <c r="G20" s="44">
        <v>6</v>
      </c>
      <c r="H20" s="65"/>
      <c r="I20" s="65"/>
      <c r="J20" s="65">
        <v>9</v>
      </c>
      <c r="K20" s="65">
        <v>5.5</v>
      </c>
      <c r="L20" s="64"/>
    </row>
    <row r="21" spans="1:12">
      <c r="A21" s="36">
        <v>14</v>
      </c>
      <c r="B21" s="37">
        <v>63288</v>
      </c>
      <c r="C21" s="38" t="s">
        <v>66</v>
      </c>
      <c r="D21" s="65">
        <v>4</v>
      </c>
      <c r="E21" s="65">
        <v>12.5</v>
      </c>
      <c r="F21" s="65">
        <v>11</v>
      </c>
      <c r="G21" s="44">
        <v>8.5</v>
      </c>
      <c r="H21" s="65"/>
      <c r="I21" s="65"/>
      <c r="J21" s="65">
        <v>12</v>
      </c>
      <c r="K21" s="65">
        <v>9.5</v>
      </c>
      <c r="L21" s="64"/>
    </row>
    <row r="22" spans="1:12">
      <c r="A22" s="36">
        <v>15</v>
      </c>
      <c r="B22" s="37">
        <v>63377</v>
      </c>
      <c r="C22" s="38" t="s">
        <v>67</v>
      </c>
      <c r="D22" s="65">
        <v>4</v>
      </c>
      <c r="E22" s="65">
        <v>13</v>
      </c>
      <c r="F22" s="65">
        <v>11</v>
      </c>
      <c r="G22" s="44">
        <v>8.5</v>
      </c>
      <c r="H22" s="65"/>
      <c r="I22" s="65"/>
      <c r="J22" s="65">
        <v>11</v>
      </c>
      <c r="K22" s="65">
        <v>7.5</v>
      </c>
      <c r="L22" s="64"/>
    </row>
    <row r="23" spans="1:12">
      <c r="A23" s="36">
        <v>16</v>
      </c>
      <c r="B23" s="37">
        <v>63430</v>
      </c>
      <c r="C23" s="38" t="s">
        <v>30</v>
      </c>
      <c r="D23" s="65">
        <v>4</v>
      </c>
      <c r="E23" s="65">
        <v>13</v>
      </c>
      <c r="F23" s="65">
        <v>11</v>
      </c>
      <c r="G23" s="44">
        <v>8</v>
      </c>
      <c r="H23" s="65"/>
      <c r="I23" s="65"/>
      <c r="J23" s="65">
        <v>9</v>
      </c>
      <c r="K23" s="65">
        <v>10</v>
      </c>
      <c r="L23" s="64"/>
    </row>
    <row r="24" spans="1:12">
      <c r="A24" s="36">
        <v>17</v>
      </c>
      <c r="B24" s="37">
        <v>63476</v>
      </c>
      <c r="C24" s="38" t="s">
        <v>31</v>
      </c>
      <c r="D24" s="65">
        <v>3</v>
      </c>
      <c r="E24" s="65">
        <v>10</v>
      </c>
      <c r="F24" s="65">
        <v>12</v>
      </c>
      <c r="G24" s="44">
        <v>7</v>
      </c>
      <c r="H24" s="65"/>
      <c r="I24" s="65"/>
      <c r="J24" s="65">
        <v>11</v>
      </c>
      <c r="K24" s="65">
        <v>8.5</v>
      </c>
      <c r="L24" s="64"/>
    </row>
    <row r="25" spans="1:12" ht="25.5">
      <c r="A25" s="36">
        <v>18</v>
      </c>
      <c r="B25" s="37">
        <v>63503</v>
      </c>
      <c r="C25" s="38" t="s">
        <v>32</v>
      </c>
      <c r="D25" s="65">
        <v>3</v>
      </c>
      <c r="E25" s="65">
        <v>10</v>
      </c>
      <c r="F25" s="65">
        <v>12</v>
      </c>
      <c r="G25" s="44">
        <v>8</v>
      </c>
      <c r="H25" s="65"/>
      <c r="I25" s="65"/>
      <c r="J25" s="65">
        <v>12</v>
      </c>
      <c r="K25" s="65">
        <v>7</v>
      </c>
      <c r="L25" s="64"/>
    </row>
    <row r="26" spans="1:12">
      <c r="A26" s="36">
        <v>19</v>
      </c>
      <c r="B26" s="37">
        <v>63508</v>
      </c>
      <c r="C26" s="38" t="s">
        <v>33</v>
      </c>
      <c r="D26" s="65">
        <v>3</v>
      </c>
      <c r="E26" s="65">
        <v>10</v>
      </c>
      <c r="F26" s="65">
        <v>12</v>
      </c>
      <c r="G26" s="44">
        <v>8.5</v>
      </c>
      <c r="H26" s="65"/>
      <c r="I26" s="65"/>
      <c r="J26" s="65">
        <v>14</v>
      </c>
      <c r="K26" s="65">
        <v>13</v>
      </c>
      <c r="L26" s="64"/>
    </row>
    <row r="27" spans="1:12" ht="25.5">
      <c r="A27" s="36">
        <v>20</v>
      </c>
      <c r="B27" s="37">
        <v>63534</v>
      </c>
      <c r="C27" s="38" t="s">
        <v>68</v>
      </c>
      <c r="D27" s="65">
        <v>4</v>
      </c>
      <c r="E27" s="65">
        <v>13</v>
      </c>
      <c r="F27" s="65">
        <v>11</v>
      </c>
      <c r="G27" s="44">
        <v>8.5</v>
      </c>
      <c r="H27" s="65"/>
      <c r="I27" s="65"/>
      <c r="J27" s="65">
        <v>10</v>
      </c>
      <c r="K27" s="65">
        <v>3.5</v>
      </c>
      <c r="L27" s="64"/>
    </row>
    <row r="28" spans="1:12">
      <c r="A28" s="36">
        <v>21</v>
      </c>
      <c r="B28" s="37">
        <v>63542</v>
      </c>
      <c r="C28" s="38" t="s">
        <v>69</v>
      </c>
      <c r="D28" s="65">
        <v>4</v>
      </c>
      <c r="E28" s="65">
        <v>12</v>
      </c>
      <c r="F28" s="65">
        <v>11</v>
      </c>
      <c r="G28" s="44">
        <v>8.5</v>
      </c>
      <c r="H28" s="65"/>
      <c r="I28" s="65"/>
      <c r="J28" s="65">
        <v>10</v>
      </c>
      <c r="K28" s="65">
        <v>8</v>
      </c>
      <c r="L28" s="64"/>
    </row>
    <row r="29" spans="1:12" ht="25.5">
      <c r="A29" s="36">
        <v>22</v>
      </c>
      <c r="B29" s="37">
        <v>63686</v>
      </c>
      <c r="C29" s="38" t="s">
        <v>70</v>
      </c>
      <c r="D29" s="65">
        <v>4</v>
      </c>
      <c r="E29" s="65">
        <v>12.5</v>
      </c>
      <c r="F29" s="65">
        <v>12</v>
      </c>
      <c r="G29" s="44">
        <v>8.5</v>
      </c>
      <c r="H29" s="65"/>
      <c r="I29" s="65"/>
      <c r="J29" s="65">
        <v>12</v>
      </c>
      <c r="K29" s="65">
        <v>7.5</v>
      </c>
      <c r="L29" s="64"/>
    </row>
    <row r="30" spans="1:12">
      <c r="A30" s="36">
        <v>23</v>
      </c>
      <c r="B30" s="37">
        <v>63746</v>
      </c>
      <c r="C30" s="38" t="s">
        <v>71</v>
      </c>
      <c r="D30" s="65">
        <v>4</v>
      </c>
      <c r="E30" s="65">
        <v>12.5</v>
      </c>
      <c r="F30" s="65">
        <v>12</v>
      </c>
      <c r="G30" s="44">
        <v>8</v>
      </c>
      <c r="H30" s="65"/>
      <c r="I30" s="65"/>
      <c r="J30" s="65">
        <v>12</v>
      </c>
      <c r="K30" s="65">
        <v>12.5</v>
      </c>
      <c r="L30" s="64"/>
    </row>
    <row r="31" spans="1:12" ht="25.5">
      <c r="A31" s="36">
        <v>24</v>
      </c>
      <c r="B31" s="37">
        <v>63828</v>
      </c>
      <c r="C31" s="38" t="s">
        <v>72</v>
      </c>
      <c r="D31" s="65">
        <v>4</v>
      </c>
      <c r="E31" s="65">
        <v>12.5</v>
      </c>
      <c r="F31" s="65">
        <v>12</v>
      </c>
      <c r="G31" s="44">
        <v>7.5</v>
      </c>
      <c r="H31" s="65"/>
      <c r="I31" s="65"/>
      <c r="J31" s="65">
        <v>11</v>
      </c>
      <c r="K31" s="65">
        <v>12.5</v>
      </c>
      <c r="L31" s="64"/>
    </row>
    <row r="32" spans="1:12">
      <c r="A32" s="36">
        <v>25</v>
      </c>
      <c r="B32" s="37">
        <v>63831</v>
      </c>
      <c r="C32" s="38" t="s">
        <v>73</v>
      </c>
      <c r="D32" s="65">
        <v>4</v>
      </c>
      <c r="E32" s="65">
        <v>13</v>
      </c>
      <c r="F32" s="65">
        <v>11</v>
      </c>
      <c r="G32" s="44">
        <v>8</v>
      </c>
      <c r="H32" s="65"/>
      <c r="I32" s="65"/>
      <c r="J32" s="65">
        <v>11</v>
      </c>
      <c r="K32" s="65">
        <v>10.5</v>
      </c>
      <c r="L32" s="64"/>
    </row>
    <row r="33" spans="1:12">
      <c r="A33" s="36">
        <v>26</v>
      </c>
      <c r="B33" s="37">
        <v>63852</v>
      </c>
      <c r="C33" s="38" t="s">
        <v>74</v>
      </c>
      <c r="D33" s="65">
        <v>4</v>
      </c>
      <c r="E33" s="65">
        <v>12.5</v>
      </c>
      <c r="F33" s="65">
        <v>12</v>
      </c>
      <c r="G33" s="44">
        <v>8.5</v>
      </c>
      <c r="H33" s="65"/>
      <c r="I33" s="65"/>
      <c r="J33" s="65">
        <v>13</v>
      </c>
      <c r="K33" s="65">
        <v>12</v>
      </c>
      <c r="L33" s="64"/>
    </row>
    <row r="34" spans="1:12">
      <c r="A34" s="36">
        <v>27</v>
      </c>
      <c r="B34" s="37">
        <v>63879</v>
      </c>
      <c r="C34" s="38" t="s">
        <v>75</v>
      </c>
      <c r="D34" s="65">
        <v>4</v>
      </c>
      <c r="E34" s="65">
        <v>12.5</v>
      </c>
      <c r="F34" s="65">
        <v>12</v>
      </c>
      <c r="G34" s="44">
        <v>7</v>
      </c>
      <c r="H34" s="65"/>
      <c r="I34" s="65"/>
      <c r="J34" s="65">
        <v>10</v>
      </c>
      <c r="K34" s="65">
        <v>8</v>
      </c>
      <c r="L34" s="64"/>
    </row>
    <row r="35" spans="1:12" ht="25.5">
      <c r="A35" s="36">
        <v>28</v>
      </c>
      <c r="B35" s="37">
        <v>64044</v>
      </c>
      <c r="C35" s="38" t="s">
        <v>76</v>
      </c>
      <c r="D35" s="65">
        <v>4</v>
      </c>
      <c r="E35" s="65">
        <v>12.5</v>
      </c>
      <c r="F35" s="65">
        <v>12</v>
      </c>
      <c r="G35" s="44">
        <v>9</v>
      </c>
      <c r="H35" s="65"/>
      <c r="I35" s="65"/>
      <c r="J35" s="65">
        <v>11</v>
      </c>
      <c r="K35" s="65">
        <v>7</v>
      </c>
      <c r="L35" s="64"/>
    </row>
    <row r="36" spans="1:12">
      <c r="A36" s="36">
        <v>29</v>
      </c>
      <c r="B36" s="37">
        <v>64048</v>
      </c>
      <c r="C36" s="38" t="s">
        <v>77</v>
      </c>
      <c r="D36" s="65">
        <v>4</v>
      </c>
      <c r="E36" s="65">
        <v>13</v>
      </c>
      <c r="F36" s="65">
        <v>11</v>
      </c>
      <c r="G36" s="44">
        <v>6</v>
      </c>
      <c r="H36" s="65"/>
      <c r="I36" s="65"/>
      <c r="J36" s="65">
        <v>11</v>
      </c>
      <c r="K36" s="65">
        <v>0</v>
      </c>
      <c r="L36" s="64"/>
    </row>
    <row r="37" spans="1:12">
      <c r="A37" s="36">
        <v>30</v>
      </c>
      <c r="B37" s="37">
        <v>64167</v>
      </c>
      <c r="C37" s="38" t="s">
        <v>78</v>
      </c>
      <c r="D37" s="65">
        <v>4</v>
      </c>
      <c r="E37" s="65">
        <v>12.5</v>
      </c>
      <c r="F37" s="65">
        <v>11</v>
      </c>
      <c r="G37" s="44">
        <v>7.5</v>
      </c>
      <c r="H37" s="65"/>
      <c r="I37" s="65"/>
      <c r="J37" s="65">
        <v>11</v>
      </c>
      <c r="K37" s="65">
        <v>2.5</v>
      </c>
      <c r="L37" s="64"/>
    </row>
    <row r="38" spans="1:12">
      <c r="A38" s="36">
        <v>31</v>
      </c>
      <c r="B38" s="37">
        <v>64195</v>
      </c>
      <c r="C38" s="38" t="s">
        <v>34</v>
      </c>
      <c r="D38" s="65">
        <v>4</v>
      </c>
      <c r="E38" s="65">
        <v>13</v>
      </c>
      <c r="F38" s="65">
        <v>11</v>
      </c>
      <c r="G38" s="44">
        <v>8</v>
      </c>
      <c r="H38" s="65"/>
      <c r="I38" s="65"/>
      <c r="J38" s="65">
        <v>13</v>
      </c>
      <c r="K38" s="65">
        <v>11</v>
      </c>
      <c r="L38" s="64"/>
    </row>
    <row r="39" spans="1:12">
      <c r="A39" s="36">
        <v>32</v>
      </c>
      <c r="B39" s="37">
        <v>64255</v>
      </c>
      <c r="C39" s="38" t="s">
        <v>35</v>
      </c>
      <c r="D39" s="65">
        <v>4</v>
      </c>
      <c r="E39" s="65">
        <v>12.5</v>
      </c>
      <c r="F39" s="65">
        <v>12</v>
      </c>
      <c r="G39" s="44">
        <v>8</v>
      </c>
      <c r="H39" s="65"/>
      <c r="I39" s="65"/>
      <c r="J39" s="65">
        <v>12</v>
      </c>
      <c r="K39" s="65">
        <v>12.5</v>
      </c>
      <c r="L39" s="64"/>
    </row>
    <row r="40" spans="1:12">
      <c r="A40" s="36">
        <v>33</v>
      </c>
      <c r="B40" s="37">
        <v>64316</v>
      </c>
      <c r="C40" s="38" t="s">
        <v>36</v>
      </c>
      <c r="D40" s="65">
        <v>4</v>
      </c>
      <c r="E40" s="65">
        <v>13</v>
      </c>
      <c r="F40" s="65">
        <v>11</v>
      </c>
      <c r="G40" s="44">
        <v>6.5</v>
      </c>
      <c r="H40" s="65"/>
      <c r="I40" s="65"/>
      <c r="J40" s="65">
        <v>9</v>
      </c>
      <c r="K40" s="65">
        <v>8.5</v>
      </c>
      <c r="L40" s="64"/>
    </row>
    <row r="41" spans="1:12">
      <c r="A41" s="36">
        <v>34</v>
      </c>
      <c r="B41" s="37">
        <v>64419</v>
      </c>
      <c r="C41" s="38" t="s">
        <v>37</v>
      </c>
      <c r="D41" s="65">
        <v>4</v>
      </c>
      <c r="E41" s="65">
        <v>13</v>
      </c>
      <c r="F41" s="65">
        <v>11</v>
      </c>
      <c r="G41" s="44">
        <v>8</v>
      </c>
      <c r="H41" s="65"/>
      <c r="I41" s="65"/>
      <c r="J41" s="65">
        <v>10</v>
      </c>
      <c r="K41" s="65">
        <v>8.5</v>
      </c>
      <c r="L41" s="64"/>
    </row>
    <row r="42" spans="1:12">
      <c r="A42" s="36">
        <v>35</v>
      </c>
      <c r="B42" s="37">
        <v>65122</v>
      </c>
      <c r="C42" s="38" t="s">
        <v>38</v>
      </c>
      <c r="D42" s="65">
        <v>4</v>
      </c>
      <c r="E42" s="65">
        <v>12.5</v>
      </c>
      <c r="F42" s="65">
        <v>12</v>
      </c>
      <c r="G42" s="44">
        <v>7.5</v>
      </c>
      <c r="H42" s="65"/>
      <c r="I42" s="65"/>
      <c r="J42" s="65">
        <v>11</v>
      </c>
      <c r="K42" s="65">
        <v>9.5</v>
      </c>
      <c r="L42" s="64"/>
    </row>
    <row r="43" spans="1:12">
      <c r="A43" s="36">
        <v>36</v>
      </c>
      <c r="B43" s="37">
        <v>65245</v>
      </c>
      <c r="C43" s="38" t="s">
        <v>39</v>
      </c>
      <c r="D43" s="65">
        <v>4</v>
      </c>
      <c r="E43" s="65">
        <v>13</v>
      </c>
      <c r="F43" s="65">
        <v>11</v>
      </c>
      <c r="G43" s="44">
        <v>7</v>
      </c>
      <c r="H43" s="65"/>
      <c r="I43" s="65"/>
      <c r="J43" s="65">
        <v>12</v>
      </c>
      <c r="K43" s="65">
        <v>11</v>
      </c>
      <c r="L43" s="64"/>
    </row>
    <row r="44" spans="1:12" ht="25.5">
      <c r="A44" s="36">
        <v>37</v>
      </c>
      <c r="B44" s="37">
        <v>66024</v>
      </c>
      <c r="C44" s="38" t="s">
        <v>40</v>
      </c>
      <c r="D44" s="65">
        <v>3</v>
      </c>
      <c r="E44" s="65">
        <v>10</v>
      </c>
      <c r="F44" s="65">
        <v>12</v>
      </c>
      <c r="G44" s="44">
        <v>7.5</v>
      </c>
      <c r="H44" s="65"/>
      <c r="I44" s="65"/>
      <c r="J44" s="65">
        <v>8</v>
      </c>
      <c r="K44" s="65">
        <v>12.5</v>
      </c>
      <c r="L44" s="64"/>
    </row>
    <row r="45" spans="1:12">
      <c r="A45" s="36">
        <v>38</v>
      </c>
      <c r="B45" s="37">
        <v>66043</v>
      </c>
      <c r="C45" s="38" t="s">
        <v>41</v>
      </c>
      <c r="D45" s="65">
        <v>4</v>
      </c>
      <c r="E45" s="65">
        <v>12.5</v>
      </c>
      <c r="F45" s="65">
        <v>12</v>
      </c>
      <c r="G45" s="44">
        <v>8.5</v>
      </c>
      <c r="H45" s="65"/>
      <c r="I45" s="65"/>
      <c r="J45" s="65">
        <v>12</v>
      </c>
      <c r="K45" s="65">
        <v>15</v>
      </c>
      <c r="L45" s="64"/>
    </row>
    <row r="46" spans="1:12">
      <c r="A46" s="36">
        <v>39</v>
      </c>
      <c r="B46" s="37">
        <v>66045</v>
      </c>
      <c r="C46" s="38" t="s">
        <v>42</v>
      </c>
      <c r="D46" s="65">
        <v>4</v>
      </c>
      <c r="E46" s="65">
        <v>13</v>
      </c>
      <c r="F46" s="65">
        <v>11</v>
      </c>
      <c r="G46" s="44">
        <v>6</v>
      </c>
      <c r="H46" s="65"/>
      <c r="I46" s="65"/>
      <c r="J46" s="65">
        <v>11</v>
      </c>
      <c r="K46" s="65">
        <v>14</v>
      </c>
      <c r="L46" s="64"/>
    </row>
    <row r="47" spans="1:12">
      <c r="A47" s="36">
        <v>40</v>
      </c>
      <c r="B47" s="37">
        <v>66572</v>
      </c>
      <c r="C47" s="38" t="s">
        <v>43</v>
      </c>
      <c r="D47" s="65">
        <v>3</v>
      </c>
      <c r="E47" s="65">
        <v>10</v>
      </c>
      <c r="F47" s="65">
        <v>12</v>
      </c>
      <c r="G47" s="44">
        <v>8</v>
      </c>
      <c r="H47" s="65"/>
      <c r="I47" s="65"/>
      <c r="J47" s="65">
        <v>11</v>
      </c>
      <c r="K47" s="65">
        <v>14</v>
      </c>
      <c r="L47" s="64"/>
    </row>
    <row r="48" spans="1:12">
      <c r="A48" s="36">
        <v>41</v>
      </c>
      <c r="B48" s="37">
        <v>74335</v>
      </c>
      <c r="C48" s="38" t="s">
        <v>44</v>
      </c>
      <c r="D48" s="65">
        <v>4</v>
      </c>
      <c r="E48" s="65">
        <v>13</v>
      </c>
      <c r="F48" s="65">
        <v>11</v>
      </c>
      <c r="G48" s="44">
        <v>8.5</v>
      </c>
      <c r="H48" s="65"/>
      <c r="I48" s="65"/>
      <c r="J48" s="65">
        <v>11</v>
      </c>
      <c r="K48" s="65">
        <v>6.5</v>
      </c>
      <c r="L48" s="64"/>
    </row>
    <row r="49" spans="1:12">
      <c r="A49" s="36">
        <v>42</v>
      </c>
      <c r="B49" s="37">
        <v>79429</v>
      </c>
      <c r="C49" s="38" t="s">
        <v>45</v>
      </c>
      <c r="D49" s="65">
        <v>4</v>
      </c>
      <c r="E49" s="65">
        <v>12.5</v>
      </c>
      <c r="F49" s="65">
        <v>12</v>
      </c>
      <c r="G49" s="44">
        <v>7.5</v>
      </c>
      <c r="H49" s="65"/>
      <c r="I49" s="65"/>
      <c r="J49" s="65">
        <v>10</v>
      </c>
      <c r="K49" s="65">
        <v>3.5</v>
      </c>
      <c r="L49" s="64"/>
    </row>
  </sheetData>
  <mergeCells count="5">
    <mergeCell ref="D5:F5"/>
    <mergeCell ref="H5:I5"/>
    <mergeCell ref="A6:C6"/>
    <mergeCell ref="A7:C7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Latif</dc:creator>
  <cp:lastModifiedBy>jawwad ibrahim</cp:lastModifiedBy>
  <dcterms:created xsi:type="dcterms:W3CDTF">2019-11-25T07:25:44Z</dcterms:created>
  <dcterms:modified xsi:type="dcterms:W3CDTF">2026-04-23T09:18:14Z</dcterms:modified>
</cp:coreProperties>
</file>